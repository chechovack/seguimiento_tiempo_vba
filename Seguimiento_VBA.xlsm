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CHECHO\Personal\"/>
    </mc:Choice>
  </mc:AlternateContent>
  <xr:revisionPtr revIDLastSave="0" documentId="8_{8490FD8A-34DC-4E67-B7EC-9D75EA7667CF}" xr6:coauthVersionLast="47" xr6:coauthVersionMax="47" xr10:uidLastSave="{00000000-0000-0000-0000-000000000000}"/>
  <bookViews>
    <workbookView xWindow="-108" yWindow="-108" windowWidth="30936" windowHeight="16776" xr2:uid="{9AD8C687-8BF8-48D4-9EA2-064DDE90C002}"/>
  </bookViews>
  <sheets>
    <sheet name="Formulario" sheetId="16" r:id="rId1"/>
    <sheet name="Base_Nueva" sheetId="17" r:id="rId2"/>
    <sheet name="Consulta_Modif" sheetId="29" r:id="rId3"/>
    <sheet name="Uso de Tiempo" sheetId="23" r:id="rId4"/>
    <sheet name="Tablas Auxiliares" sheetId="5" r:id="rId5"/>
  </sheets>
  <definedNames>
    <definedName name="_xlnm._FilterDatabase" localSheetId="4" hidden="1">'Tablas Auxiliares'!$S$2:$S$7</definedName>
    <definedName name="CUENTA">'Tablas Auxiliares'!$C$2:$C$44</definedName>
    <definedName name="DATA">'Tablas Auxiliares'!$A$2:$A$11</definedName>
    <definedName name="DatosExternos_1" localSheetId="2" hidden="1">Consulta_Modif!$A$1:$K$48</definedName>
    <definedName name="Display_Week" localSheetId="3">'Uso de Tiempo'!$Q$2</definedName>
    <definedName name="Display_Week">#REF!</definedName>
    <definedName name="Elegir_Analista">#REF!</definedName>
    <definedName name="Project_Start" localSheetId="3">'Uso de Tiempo'!$Q$1</definedName>
    <definedName name="Project_Start">#REF!</definedName>
    <definedName name="task_end" localSheetId="3">'Uso de Tiempo'!$F1</definedName>
    <definedName name="task_progress" localSheetId="3">'Uso de Tiempo'!$D1</definedName>
    <definedName name="task_start" localSheetId="3">'Uso de Tiempo'!$E1</definedName>
    <definedName name="_xlnm.Print_Titles" localSheetId="3">'Uso de Tiempo'!$4:$6</definedName>
    <definedName name="today" localSheetId="3">TODAY()</definedName>
  </definedNames>
  <calcPr calcId="191029"/>
  <pivotCaches>
    <pivotCache cacheId="0"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16" l="1"/>
  <c r="A3" i="16"/>
  <c r="I49" i="17"/>
  <c r="I48" i="17"/>
  <c r="I47" i="17"/>
  <c r="I46" i="17"/>
  <c r="J3" i="17"/>
  <c r="J6" i="17"/>
  <c r="J7" i="17"/>
  <c r="J8" i="17"/>
  <c r="J9" i="17"/>
  <c r="J17" i="17"/>
  <c r="J18" i="17"/>
  <c r="J20" i="17"/>
  <c r="J2" i="17"/>
  <c r="K2" i="17" s="1"/>
  <c r="I45" i="17"/>
  <c r="B8" i="23" a="1"/>
  <c r="B8" i="23" s="1"/>
  <c r="F8" i="23" a="1"/>
  <c r="F8" i="23" s="1"/>
  <c r="E8" i="23" a="1"/>
  <c r="E8" i="23" s="1"/>
  <c r="D8" i="23" a="1"/>
  <c r="D8" i="23" s="1"/>
  <c r="C8" i="23" a="1"/>
  <c r="C8" i="23" s="1"/>
  <c r="I22" i="17"/>
  <c r="I44" i="17"/>
  <c r="I29" i="17"/>
  <c r="I11" i="17"/>
  <c r="I30" i="17"/>
  <c r="I26" i="17"/>
  <c r="I31" i="17"/>
  <c r="I43" i="17"/>
  <c r="I9" i="17"/>
  <c r="I23" i="17"/>
  <c r="I10" i="17"/>
  <c r="I20" i="17"/>
  <c r="I39" i="17"/>
  <c r="I24" i="17"/>
  <c r="I3" i="17"/>
  <c r="I4" i="17"/>
  <c r="I5" i="17"/>
  <c r="I6" i="17"/>
  <c r="I2" i="17"/>
  <c r="I7" i="17"/>
  <c r="I8" i="17"/>
  <c r="I16" i="17"/>
  <c r="I19" i="17"/>
  <c r="I32" i="17"/>
  <c r="I33" i="17"/>
  <c r="I34" i="17"/>
  <c r="I35" i="17"/>
  <c r="I36" i="17"/>
  <c r="I37" i="17"/>
  <c r="I38" i="17"/>
  <c r="I17" i="17"/>
  <c r="I13" i="17"/>
  <c r="I41" i="17"/>
  <c r="I15" i="17"/>
  <c r="I21" i="17"/>
  <c r="I14" i="17"/>
  <c r="I27" i="17"/>
  <c r="I25" i="17"/>
  <c r="I18" i="17"/>
  <c r="I42" i="17"/>
  <c r="I28" i="17"/>
  <c r="I40" i="17"/>
  <c r="H29" i="23"/>
  <c r="H28" i="23"/>
  <c r="H7" i="23"/>
  <c r="K7" i="17" l="1"/>
  <c r="K8" i="17"/>
  <c r="K9" i="17"/>
  <c r="J10" i="17" s="1"/>
  <c r="K18" i="17"/>
  <c r="J19" i="17" s="1"/>
  <c r="K3" i="17"/>
  <c r="J4" i="17" s="1"/>
  <c r="I5" i="23"/>
  <c r="K20" i="17" l="1"/>
  <c r="J21" i="17" s="1"/>
  <c r="K4" i="17"/>
  <c r="J5" i="17" s="1"/>
  <c r="K10" i="17"/>
  <c r="J5" i="23"/>
  <c r="I6" i="23"/>
  <c r="I4" i="23"/>
  <c r="J11" i="17" l="1"/>
  <c r="K11" i="17" s="1"/>
  <c r="K5" i="17"/>
  <c r="K19" i="17"/>
  <c r="K5" i="23"/>
  <c r="J6" i="23"/>
  <c r="K6" i="17" l="1"/>
  <c r="K21" i="17"/>
  <c r="K6" i="23"/>
  <c r="L5" i="23"/>
  <c r="J22" i="17" l="1"/>
  <c r="M5" i="23"/>
  <c r="L6" i="23"/>
  <c r="K22" i="17" l="1"/>
  <c r="J23" i="17" s="1"/>
  <c r="K23" i="17" s="1"/>
  <c r="J24" i="17" s="1"/>
  <c r="N5" i="23"/>
  <c r="M6" i="23"/>
  <c r="K24" i="17" l="1"/>
  <c r="J25" i="17" s="1"/>
  <c r="K25" i="17" s="1"/>
  <c r="J26" i="17" s="1"/>
  <c r="O5" i="23"/>
  <c r="N6" i="23"/>
  <c r="K26" i="17" l="1"/>
  <c r="J27" i="17" s="1"/>
  <c r="P5" i="23"/>
  <c r="O6" i="23"/>
  <c r="K27" i="17" l="1"/>
  <c r="P4" i="23"/>
  <c r="Q5" i="23"/>
  <c r="P6" i="23"/>
  <c r="J28" i="17" l="1"/>
  <c r="K28" i="17" s="1"/>
  <c r="J29" i="17" s="1"/>
  <c r="R5" i="23"/>
  <c r="Q6" i="23"/>
  <c r="K29" i="17" l="1"/>
  <c r="S5" i="23"/>
  <c r="R6" i="23"/>
  <c r="J30" i="17" l="1"/>
  <c r="K30" i="17" s="1"/>
  <c r="J31" i="17" s="1"/>
  <c r="S6" i="23"/>
  <c r="T5" i="23"/>
  <c r="K31" i="17" l="1"/>
  <c r="T6" i="23"/>
  <c r="U5" i="23"/>
  <c r="J32" i="17" l="1"/>
  <c r="K32" i="17" s="1"/>
  <c r="J33" i="17" s="1"/>
  <c r="V5" i="23"/>
  <c r="U6" i="23"/>
  <c r="K33" i="17" l="1"/>
  <c r="J34" i="17" s="1"/>
  <c r="W5" i="23"/>
  <c r="V6" i="23"/>
  <c r="K34" i="17" l="1"/>
  <c r="W4" i="23"/>
  <c r="X5" i="23"/>
  <c r="W6" i="23"/>
  <c r="J35" i="17" l="1"/>
  <c r="K35" i="17" s="1"/>
  <c r="J36" i="17" s="1"/>
  <c r="Y5" i="23"/>
  <c r="X6" i="23"/>
  <c r="K36" i="17" l="1"/>
  <c r="Z5" i="23"/>
  <c r="Y6" i="23"/>
  <c r="J37" i="17" l="1"/>
  <c r="K37" i="17" s="1"/>
  <c r="J38" i="17" s="1"/>
  <c r="AA5" i="23"/>
  <c r="Z6" i="23"/>
  <c r="K38" i="17" l="1"/>
  <c r="AA6" i="23"/>
  <c r="AB5" i="23"/>
  <c r="J39" i="17" l="1"/>
  <c r="K39" i="17" s="1"/>
  <c r="J40" i="17" s="1"/>
  <c r="AB6" i="23"/>
  <c r="AC5" i="23"/>
  <c r="K40" i="17" l="1"/>
  <c r="J41" i="17" s="1"/>
  <c r="AD5" i="23"/>
  <c r="AC6" i="23"/>
  <c r="K41" i="17" l="1"/>
  <c r="AE5" i="23"/>
  <c r="AD6" i="23"/>
  <c r="AD4" i="23"/>
  <c r="J42" i="17" l="1"/>
  <c r="K42" i="17" s="1"/>
  <c r="J43" i="17" s="1"/>
  <c r="AF5" i="23"/>
  <c r="AE6" i="23"/>
  <c r="K43" i="17" l="1"/>
  <c r="AG5" i="23"/>
  <c r="AF6" i="23"/>
  <c r="J44" i="17" l="1"/>
  <c r="K44" i="17" s="1"/>
  <c r="J45" i="17" s="1"/>
  <c r="AH5" i="23"/>
  <c r="AG6" i="23"/>
  <c r="K45" i="17" l="1"/>
  <c r="J46" i="17" s="1"/>
  <c r="AI5" i="23"/>
  <c r="AH6" i="23"/>
  <c r="K46" i="17" l="1"/>
  <c r="J47" i="17" s="1"/>
  <c r="AI6" i="23"/>
  <c r="AJ5" i="23"/>
  <c r="K47" i="17" l="1"/>
  <c r="J48" i="17" s="1"/>
  <c r="AJ6" i="23"/>
  <c r="AK5" i="23"/>
  <c r="K48" i="17" l="1"/>
  <c r="J49" i="17" s="1"/>
  <c r="K49" i="17" s="1"/>
  <c r="AL5" i="23"/>
  <c r="AK4" i="23"/>
  <c r="AK6" i="23"/>
  <c r="AM5" i="23" l="1"/>
  <c r="AL6" i="23"/>
  <c r="AN5" i="23" l="1"/>
  <c r="AM6" i="23"/>
  <c r="AO5" i="23" l="1"/>
  <c r="AN6" i="23"/>
  <c r="AP5" i="23" l="1"/>
  <c r="AO6" i="23"/>
  <c r="AQ5" i="23" l="1"/>
  <c r="AP6" i="23"/>
  <c r="AQ6" i="23" l="1"/>
  <c r="AR5" i="23"/>
  <c r="AR4" i="23" l="1"/>
  <c r="AR6" i="23"/>
  <c r="AS5" i="23"/>
  <c r="AT5" i="23" l="1"/>
  <c r="AS6" i="23"/>
  <c r="AU5" i="23" l="1"/>
  <c r="AT6" i="23"/>
  <c r="A1" i="16"/>
  <c r="B12" i="17"/>
  <c r="J12" i="17" l="1"/>
  <c r="I12" i="17"/>
  <c r="AV5" i="23"/>
  <c r="AU6" i="23"/>
  <c r="K12" i="17" l="1"/>
  <c r="J13" i="17" s="1"/>
  <c r="H18" i="23"/>
  <c r="AW5" i="23"/>
  <c r="AV6" i="23"/>
  <c r="K13" i="17" l="1"/>
  <c r="J14" i="17" s="1"/>
  <c r="H8" i="23"/>
  <c r="H27" i="23"/>
  <c r="H26" i="23"/>
  <c r="H19" i="23"/>
  <c r="H9" i="23"/>
  <c r="H11" i="23"/>
  <c r="H12" i="23"/>
  <c r="AX5" i="23"/>
  <c r="AW6" i="23"/>
  <c r="K14" i="17" l="1"/>
  <c r="J15" i="17" s="1"/>
  <c r="H10" i="23"/>
  <c r="H21" i="23"/>
  <c r="H22" i="23"/>
  <c r="H23" i="23"/>
  <c r="H13" i="23"/>
  <c r="H25" i="23"/>
  <c r="AY5" i="23"/>
  <c r="AX6" i="23"/>
  <c r="K15" i="17" l="1"/>
  <c r="J16" i="17" s="1"/>
  <c r="H24" i="23"/>
  <c r="H20" i="23"/>
  <c r="AY6" i="23"/>
  <c r="AZ5" i="23"/>
  <c r="AY4" i="23"/>
  <c r="K17" i="17" l="1"/>
  <c r="K16" i="17"/>
  <c r="H14" i="23"/>
  <c r="H15" i="23"/>
  <c r="AZ6" i="23"/>
  <c r="BA5" i="23"/>
  <c r="H17" i="23" l="1"/>
  <c r="H16" i="23"/>
  <c r="BB5" i="23"/>
  <c r="BA6" i="23"/>
  <c r="BC5" i="23" l="1"/>
  <c r="BB6" i="23"/>
  <c r="BD5" i="23" l="1"/>
  <c r="BC6" i="23"/>
  <c r="BE5" i="23" l="1"/>
  <c r="BD6" i="23"/>
  <c r="BF5" i="23" l="1"/>
  <c r="BE6" i="23"/>
  <c r="BG5" i="23" l="1"/>
  <c r="BF6" i="23"/>
  <c r="BF4" i="23"/>
  <c r="BG6" i="23" l="1"/>
  <c r="BH5" i="23"/>
  <c r="BI5" i="23" l="1"/>
  <c r="BH6" i="23"/>
  <c r="BJ5" i="23" l="1"/>
  <c r="BI6" i="23"/>
  <c r="BK5" i="23" l="1"/>
  <c r="BJ6" i="23"/>
  <c r="BL5" i="23" l="1"/>
  <c r="BL6" i="23" s="1"/>
  <c r="BK6" i="23"/>
  <c r="A2" i="17" l="1"/>
  <c r="A3" i="17" s="1"/>
  <c r="A4" i="17" s="1"/>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A76590A-5E07-4B29-91B2-33C887B6E11E}" keepAlive="1" name="Consulta - Tabla_Analista" description="Conexión a la consulta 'Tabla_Analista' en el libro." type="5" refreshedVersion="8" background="1" saveData="1">
    <dbPr connection="Provider=Microsoft.Mashup.OleDb.1;Data Source=$Workbook$;Location=Tabla_Analista;Extended Properties=&quot;&quot;" command="SELECT * FROM [Tabla_Analista]"/>
  </connection>
  <connection id="2" xr16:uid="{839F1F01-A7CA-45FF-ADBC-1EB9DEEA8980}" keepAlive="1" name="Consulta - Tabla7" description="Conexión a la consulta 'Tabla7' en el libro." type="5" refreshedVersion="8" background="1" saveData="1">
    <dbPr connection="Provider=Microsoft.Mashup.OleDb.1;Data Source=$Workbook$;Location=Tabla7;Extended Properties=&quot;&quot;" command="SELECT * FROM [Tabla7]"/>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<sst xmlns="http://schemas.openxmlformats.org/spreadsheetml/2006/main" count="675" uniqueCount="147">
  <si>
    <t>FECHA DE SOLICITUD</t>
  </si>
  <si>
    <t>CUENTA ASOCIADA</t>
  </si>
  <si>
    <t>DATA ANALYST</t>
  </si>
  <si>
    <t>PERSONA QUE REALIZA LA SOLICITUD</t>
  </si>
  <si>
    <t>Despegar</t>
  </si>
  <si>
    <t>TIPO DE ENTREGABLE</t>
  </si>
  <si>
    <t>OBJETIVO DEL ENTREGABLE</t>
  </si>
  <si>
    <t>Yo</t>
  </si>
  <si>
    <t>Sergio Martinez</t>
  </si>
  <si>
    <t>Banco Caja Social</t>
  </si>
  <si>
    <t>Informe de Competencia Corto</t>
  </si>
  <si>
    <t>Panorama de medios</t>
  </si>
  <si>
    <t/>
  </si>
  <si>
    <t>Colombina</t>
  </si>
  <si>
    <t>Chequeo Semanal</t>
  </si>
  <si>
    <t>Analizar comportamiento competencia</t>
  </si>
  <si>
    <t>Analista</t>
  </si>
  <si>
    <t>Cuenta</t>
  </si>
  <si>
    <t>Sebastian Castellar</t>
  </si>
  <si>
    <t>Heidy Zamora</t>
  </si>
  <si>
    <t>Nathaly Bolaños</t>
  </si>
  <si>
    <t>Laura Vanegas</t>
  </si>
  <si>
    <t>Juan Esteban Miranda</t>
  </si>
  <si>
    <t>FAMILIA</t>
  </si>
  <si>
    <t>SANOFI</t>
  </si>
  <si>
    <t>Fanalca</t>
  </si>
  <si>
    <t>GENFAR</t>
  </si>
  <si>
    <t>HP</t>
  </si>
  <si>
    <t>Pisos Alfa</t>
  </si>
  <si>
    <t>LG</t>
  </si>
  <si>
    <t>Redbull</t>
  </si>
  <si>
    <t>Sanofi RX</t>
  </si>
  <si>
    <t>Burger King</t>
  </si>
  <si>
    <t>Royal Prestige</t>
  </si>
  <si>
    <t>Arturo Calle</t>
  </si>
  <si>
    <t>Entre Amigos</t>
  </si>
  <si>
    <t>Universidad de los Andes</t>
  </si>
  <si>
    <t>Unicef</t>
  </si>
  <si>
    <t>Colsanitas</t>
  </si>
  <si>
    <t>Electrolit</t>
  </si>
  <si>
    <t>Ajinomoto</t>
  </si>
  <si>
    <t>SC Johnson</t>
  </si>
  <si>
    <t>Los Coches</t>
  </si>
  <si>
    <t>Seguros Mundial</t>
  </si>
  <si>
    <t>Osamar Hilton Santamarta</t>
  </si>
  <si>
    <t>Mundo Aventura</t>
  </si>
  <si>
    <t>Alimentos Polar</t>
  </si>
  <si>
    <t>Grupo Bios</t>
  </si>
  <si>
    <t>TCC</t>
  </si>
  <si>
    <t>Viva</t>
  </si>
  <si>
    <t>Sary</t>
  </si>
  <si>
    <t>Camacol</t>
  </si>
  <si>
    <t>Crystal</t>
  </si>
  <si>
    <t>UPB</t>
  </si>
  <si>
    <t>Cerrejón</t>
  </si>
  <si>
    <t>Grupo UMA SAS</t>
  </si>
  <si>
    <t>Grupo UMAZF SAS</t>
  </si>
  <si>
    <t>Constructora Melendez</t>
  </si>
  <si>
    <t>INCHCAPE</t>
  </si>
  <si>
    <t>Argos</t>
  </si>
  <si>
    <t>Aje</t>
  </si>
  <si>
    <t>DIAGEO</t>
  </si>
  <si>
    <t>Analizar competencia</t>
  </si>
  <si>
    <t>Juan Torres</t>
  </si>
  <si>
    <t xml:space="preserve">Todo </t>
  </si>
  <si>
    <t xml:space="preserve">No te </t>
  </si>
  <si>
    <t>28/08/2023</t>
  </si>
  <si>
    <t>Analisis</t>
  </si>
  <si>
    <t>Hola</t>
  </si>
  <si>
    <t>Las fulanas</t>
  </si>
  <si>
    <t>30/08/2023</t>
  </si>
  <si>
    <t>wqewq</t>
  </si>
  <si>
    <t>Analisis de competencia</t>
  </si>
  <si>
    <t>Entregable</t>
  </si>
  <si>
    <t>Analisis de Competencia</t>
  </si>
  <si>
    <t>Investment Planner</t>
  </si>
  <si>
    <t>Audiencias</t>
  </si>
  <si>
    <t>Las gracias</t>
  </si>
  <si>
    <t>Jaimito</t>
  </si>
  <si>
    <t>Ella sola</t>
  </si>
  <si>
    <t>Mes</t>
  </si>
  <si>
    <t>Enero</t>
  </si>
  <si>
    <t>Febrero</t>
  </si>
  <si>
    <t>Marzo</t>
  </si>
  <si>
    <t>Abril</t>
  </si>
  <si>
    <t>Mayo</t>
  </si>
  <si>
    <t>Junio</t>
  </si>
  <si>
    <t>Julio</t>
  </si>
  <si>
    <t>Agosto</t>
  </si>
  <si>
    <t>Septiembre</t>
  </si>
  <si>
    <t>Octubre</t>
  </si>
  <si>
    <t>Noviembre</t>
  </si>
  <si>
    <t>Diciembre</t>
  </si>
  <si>
    <t>Dias</t>
  </si>
  <si>
    <t>Panorama de Medios</t>
  </si>
  <si>
    <t>Informe</t>
  </si>
  <si>
    <t>Cumpleaños Juanes</t>
  </si>
  <si>
    <t>Catherine</t>
  </si>
  <si>
    <t>Quiero info sobre blablabla</t>
  </si>
  <si>
    <t>TASK</t>
  </si>
  <si>
    <t>ASSIGNED TO</t>
  </si>
  <si>
    <t>START</t>
  </si>
  <si>
    <t>END</t>
  </si>
  <si>
    <t>Insert new rows ABOVE this one</t>
  </si>
  <si>
    <t xml:space="preserve">FECHA DE SOLICITUD </t>
  </si>
  <si>
    <t xml:space="preserve">Analista </t>
  </si>
  <si>
    <t>FAMILIA Regional</t>
  </si>
  <si>
    <t>FAMILIA Colombia</t>
  </si>
  <si>
    <t>Total general</t>
  </si>
  <si>
    <t>Cuenta de Cuenta</t>
  </si>
  <si>
    <t>Etiquetas de fila</t>
  </si>
  <si>
    <t>Esteban_Castañeda</t>
  </si>
  <si>
    <t>Edison_Roa</t>
  </si>
  <si>
    <t>Heidy_Zamora</t>
  </si>
  <si>
    <t>Juan_Esteban_Miranda</t>
  </si>
  <si>
    <t>Laura_Vanegas</t>
  </si>
  <si>
    <t>Nathaly_Bolaños</t>
  </si>
  <si>
    <t>Sebastian_Castellar</t>
  </si>
  <si>
    <t>Sergio_Martinez</t>
  </si>
  <si>
    <t>Yimy_Ruiz</t>
  </si>
  <si>
    <t>Juan_Torres</t>
  </si>
  <si>
    <t>FORMULARIO DE SOLICITUD DE REQUERIMIENTOS ÁREA DATA</t>
  </si>
  <si>
    <t>FECHA PLANEADA DE ENTREGA</t>
  </si>
  <si>
    <t>CUENTA</t>
  </si>
  <si>
    <t>OBJETIVO ENTREGABLE</t>
  </si>
  <si>
    <t>ID TAREA</t>
  </si>
  <si>
    <t>QWEQWEQ</t>
  </si>
  <si>
    <t>Data_Analyst</t>
  </si>
  <si>
    <t xml:space="preserve">Do not delete this row. This row is hidden to preserve a formula that is used to highlight the current day within the project schedule. </t>
  </si>
  <si>
    <t>SADASD</t>
  </si>
  <si>
    <t>watefok</t>
  </si>
  <si>
    <t>watafa</t>
  </si>
  <si>
    <t>Adolf</t>
  </si>
  <si>
    <t>DIAGRAMA DE GANTT ÁREA DATA</t>
  </si>
  <si>
    <t>Fecha actual</t>
  </si>
  <si>
    <t>Semana de interés</t>
  </si>
  <si>
    <t>HEIDY ZAMORA</t>
  </si>
  <si>
    <t>NECESITO BASE CARGADA DASHBOARD</t>
  </si>
  <si>
    <t>FECHA DISPONIBLE DEL ANALISTA</t>
  </si>
  <si>
    <t>Identificar la competencia y mix de medios</t>
  </si>
  <si>
    <t>DIAS PARA REALIZAR EL ENTREGABLE</t>
  </si>
  <si>
    <t>FECHA DE INICIO REAL</t>
  </si>
  <si>
    <t>FECHA DE ENTREGA REAL</t>
  </si>
  <si>
    <t>Camila Garibello</t>
  </si>
  <si>
    <t>blbalblbalab</t>
  </si>
  <si>
    <t>Entender lo que está haciendo Bancolombia.</t>
  </si>
  <si>
    <t>Chechito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</si>
</sst>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5" formatCode="d"/>
    <numFmt numFmtId="166" formatCode="ddd\,\ m/d/yyyy"/>
    <numFmt numFmtId="167" formatCode="mmm\ d\,\ yyyy"/>
    <numFmt numFmtId="168" formatCode="m/d/yy;@"/>
    <numFmt numFmtId="169" formatCode="dd/mm/yyyy"/>
    <numFmt numFmtId="170" formatCode="d/mm/yyyy"/>
  </numFmts>
  <fonts count="35" x14ac:knownFonts="1">
    <font>
      <sz val="11"/>
      <color theme="1"/>
      <name val="Calibri"/>
      <family val="2"/>
      <scheme val="minor"/>
    </font>
    <font>
      <sz val="11"/>
      <color theme="0"/>
      <name val="Calibri"/>
      <family val="2"/>
      <scheme val="minor"/>
    </font>
    <font>
      <sz val="8"/>
      <name val="Calibri"/>
      <family val="2"/>
      <scheme val="minor"/>
    </font>
    <font>
      <sz val="11"/>
      <color theme="1"/>
      <name val="Calibri"/>
      <family val="2"/>
      <scheme val="minor"/>
    </font>
    <font>
      <b/>
      <sz val="22"/>
      <color theme="1" tint="0.34998626667073579"/>
      <name val="Calibri Light"/>
      <family val="2"/>
      <scheme val="major"/>
    </font>
    <font>
      <sz val="14"/>
      <color theme="1"/>
      <name val="Calibri"/>
      <family val="2"/>
      <scheme val="minor"/>
    </font>
    <font>
      <u/>
      <sz val="11"/>
      <color indexed="12"/>
      <name val="Arial"/>
      <family val="2"/>
    </font>
    <font>
      <sz val="11"/>
      <color theme="1"/>
      <name val="Cascadia Code"/>
      <family val="3"/>
    </font>
    <font>
      <sz val="11"/>
      <color theme="1"/>
      <name val="Cascadia Code Light"/>
      <family val="3"/>
    </font>
    <font>
      <b/>
      <sz val="24"/>
      <color theme="1"/>
      <name val="Cascadia Code"/>
      <family val="3"/>
    </font>
    <font>
      <b/>
      <sz val="24"/>
      <color theme="4" tint="-0.249977111117893"/>
      <name val="Cascadia Code"/>
      <family val="3"/>
    </font>
    <font>
      <sz val="14"/>
      <color theme="4" tint="-0.249977111117893"/>
      <name val="Cascadia Code"/>
      <family val="3"/>
    </font>
    <font>
      <b/>
      <sz val="11"/>
      <color theme="0"/>
      <name val="Cascadia Code"/>
      <family val="3"/>
    </font>
    <font>
      <b/>
      <sz val="38"/>
      <color rgb="FF002060"/>
      <name val="Trebuchet MS"/>
      <family val="2"/>
    </font>
    <font>
      <sz val="11"/>
      <color rgb="FF002060"/>
      <name val="Trebuchet MS"/>
      <family val="2"/>
    </font>
    <font>
      <b/>
      <sz val="14"/>
      <color theme="0"/>
      <name val="Trebuchet MS"/>
      <family val="2"/>
    </font>
    <font>
      <b/>
      <sz val="16"/>
      <color theme="9"/>
      <name val="Trebuchet MS"/>
      <family val="2"/>
    </font>
    <font>
      <sz val="11"/>
      <color theme="1"/>
      <name val="Trebuchet MS"/>
      <family val="2"/>
    </font>
    <font>
      <b/>
      <sz val="16"/>
      <color rgb="FF002060"/>
      <name val="Trebuchet MS"/>
      <family val="2"/>
    </font>
    <font>
      <sz val="11"/>
      <color theme="0"/>
      <name val="Trebuchet MS"/>
      <family val="2"/>
    </font>
    <font>
      <sz val="10"/>
      <name val="Trebuchet MS"/>
      <family val="2"/>
    </font>
    <font>
      <sz val="16"/>
      <color theme="1"/>
      <name val="Trebuchet MS"/>
      <family val="2"/>
    </font>
    <font>
      <b/>
      <sz val="11"/>
      <name val="Trebuchet MS"/>
      <family val="2"/>
    </font>
    <font>
      <sz val="10"/>
      <color theme="1"/>
      <name val="Trebuchet MS"/>
      <family val="2"/>
    </font>
    <font>
      <b/>
      <sz val="10"/>
      <color theme="1"/>
      <name val="Trebuchet MS"/>
      <family val="2"/>
    </font>
    <font>
      <b/>
      <sz val="8"/>
      <name val="Trebuchet MS"/>
      <family val="2"/>
    </font>
    <font>
      <b/>
      <sz val="8"/>
      <color theme="1"/>
      <name val="Trebuchet MS"/>
      <family val="2"/>
    </font>
    <font>
      <sz val="11"/>
      <name val="Trebuchet MS"/>
      <family val="2"/>
    </font>
    <font>
      <i/>
      <sz val="10"/>
      <color theme="1"/>
      <name val="Trebuchet MS"/>
      <family val="2"/>
    </font>
    <font>
      <sz val="10"/>
      <color theme="1" tint="0.499984740745262"/>
      <name val="Trebuchet MS"/>
      <family val="2"/>
    </font>
    <font>
      <b/>
      <sz val="11"/>
      <color theme="1" tint="0.499984740745262"/>
      <name val="Trebuchet MS"/>
      <family val="2"/>
    </font>
    <font>
      <b/>
      <sz val="12"/>
      <color rgb="FF002060"/>
      <name val="Trebuchet MS"/>
      <family val="2"/>
    </font>
    <font>
      <sz val="12"/>
      <color rgb="FF002060"/>
      <name val="Trebuchet MS"/>
      <family val="2"/>
    </font>
    <font>
      <b/>
      <sz val="16"/>
      <color theme="4"/>
      <name val="Trebuchet MS"/>
      <family val="2"/>
    </font>
    <font>
      <sz val="11"/>
      <color theme="4"/>
      <name val="Trebuchet MS"/>
      <family val="2"/>
    </font>
  </fonts>
  <fills count="15">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0" tint="-4.9989318521683403E-2"/>
        <bgColor theme="4"/>
      </patternFill>
    </fill>
    <fill>
      <patternFill patternType="solid">
        <fgColor theme="0" tint="-0.149967955565050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ECF0F8"/>
        <bgColor indexed="64"/>
      </patternFill>
    </fill>
    <fill>
      <patternFill patternType="solid">
        <fgColor rgb="FFF3F6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9" tint="0.79998168889431442"/>
      </patternFill>
    </fill>
  </fills>
  <borders count="5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thin">
        <color theme="1" tint="0.499984740745262"/>
      </bottom>
      <diagonal/>
    </border>
    <border>
      <left/>
      <right/>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medium">
        <color theme="0" tint="-0.14996795556505021"/>
      </top>
      <bottom style="medium">
        <color theme="0" tint="-0.14996795556505021"/>
      </bottom>
      <diagonal/>
    </border>
    <border>
      <left/>
      <right/>
      <top style="thin">
        <color theme="0" tint="-4.9989318521683403E-2"/>
      </top>
      <bottom/>
      <diagonal/>
    </border>
    <border>
      <left/>
      <right/>
      <top/>
      <bottom style="thin">
        <color theme="4" tint="0.59996337778862885"/>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style="thin">
        <color theme="4" tint="0.59996337778862885"/>
      </top>
      <bottom style="thin">
        <color theme="4" tint="0.59996337778862885"/>
      </bottom>
      <diagonal/>
    </border>
    <border>
      <left/>
      <right/>
      <top style="thin">
        <color theme="5" tint="0.59996337778862885"/>
      </top>
      <bottom style="thin">
        <color theme="5" tint="0.59996337778862885"/>
      </bottom>
      <diagonal/>
    </border>
    <border>
      <left/>
      <right/>
      <top style="thin">
        <color theme="6" tint="0.59996337778862885"/>
      </top>
      <bottom style="thin">
        <color theme="6" tint="0.59996337778862885"/>
      </bottom>
      <diagonal/>
    </border>
    <border>
      <left/>
      <right/>
      <top style="thin">
        <color theme="8" tint="0.59996337778862885"/>
      </top>
      <bottom style="thin">
        <color theme="8" tint="0.59996337778862885"/>
      </bottom>
      <diagonal/>
    </border>
    <border>
      <left style="medium">
        <color indexed="64"/>
      </left>
      <right style="hair">
        <color indexed="64"/>
      </right>
      <top style="hair">
        <color indexed="64"/>
      </top>
      <bottom style="hair">
        <color indexed="64"/>
      </bottom>
      <diagonal/>
    </border>
    <border>
      <left/>
      <right/>
      <top style="hair">
        <color auto="1"/>
      </top>
      <bottom/>
      <diagonal/>
    </border>
    <border>
      <left/>
      <right style="hair">
        <color auto="1"/>
      </right>
      <top style="hair">
        <color auto="1"/>
      </top>
      <bottom/>
      <diagonal/>
    </border>
    <border>
      <left/>
      <right style="hair">
        <color auto="1"/>
      </right>
      <top/>
      <bottom/>
      <diagonal/>
    </border>
    <border>
      <left/>
      <right/>
      <top/>
      <bottom style="hair">
        <color auto="1"/>
      </bottom>
      <diagonal/>
    </border>
    <border>
      <left/>
      <right style="hair">
        <color auto="1"/>
      </right>
      <top/>
      <bottom style="hair">
        <color auto="1"/>
      </bottom>
      <diagonal/>
    </border>
    <border>
      <left/>
      <right/>
      <top style="thin">
        <color theme="4" tint="-0.249977111117893"/>
      </top>
      <bottom/>
      <diagonal/>
    </border>
    <border>
      <left style="thick">
        <color theme="4" tint="-0.24994659260841701"/>
      </left>
      <right/>
      <top style="thick">
        <color theme="4" tint="-0.24994659260841701"/>
      </top>
      <bottom/>
      <diagonal/>
    </border>
    <border>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top/>
      <bottom/>
      <diagonal/>
    </border>
    <border>
      <left/>
      <right style="thick">
        <color theme="4" tint="-0.24994659260841701"/>
      </right>
      <top/>
      <bottom/>
      <diagonal/>
    </border>
    <border>
      <left style="thick">
        <color theme="4" tint="-0.24994659260841701"/>
      </left>
      <right/>
      <top/>
      <bottom style="thick">
        <color theme="4" tint="-0.24994659260841701"/>
      </bottom>
      <diagonal/>
    </border>
    <border>
      <left/>
      <right/>
      <top/>
      <bottom style="thick">
        <color theme="4" tint="-0.24994659260841701"/>
      </bottom>
      <diagonal/>
    </border>
    <border>
      <left/>
      <right style="thick">
        <color theme="4" tint="-0.24994659260841701"/>
      </right>
      <top/>
      <bottom style="thick">
        <color theme="4" tint="-0.24994659260841701"/>
      </bottom>
      <diagonal/>
    </border>
    <border>
      <left style="thick">
        <color theme="4" tint="-0.249977111117893"/>
      </left>
      <right/>
      <top/>
      <bottom/>
      <diagonal/>
    </border>
    <border>
      <left style="thin">
        <color theme="0" tint="-0.14993743705557422"/>
      </left>
      <right style="thin">
        <color theme="0" tint="-0.14993743705557422"/>
      </right>
      <top/>
      <bottom/>
      <diagonal/>
    </border>
    <border>
      <left/>
      <right/>
      <top style="thin">
        <color theme="4" tint="0.39997558519241921"/>
      </top>
      <bottom/>
      <diagonal/>
    </border>
    <border>
      <left style="medium">
        <color indexed="64"/>
      </left>
      <right/>
      <top style="hair">
        <color indexed="64"/>
      </top>
      <bottom/>
      <diagonal/>
    </border>
    <border>
      <left style="hair">
        <color indexed="64"/>
      </left>
      <right/>
      <top style="hair">
        <color auto="1"/>
      </top>
      <bottom/>
      <diagonal/>
    </border>
    <border>
      <left style="medium">
        <color indexed="64"/>
      </left>
      <right/>
      <top style="thin">
        <color theme="4" tint="0.39997558519241921"/>
      </top>
      <bottom/>
      <diagonal/>
    </border>
    <border>
      <left style="hair">
        <color indexed="64"/>
      </left>
      <right/>
      <top style="thin">
        <color theme="9" tint="0.39997558519241921"/>
      </top>
      <bottom/>
      <diagonal/>
    </border>
    <border>
      <left style="hair">
        <color indexed="64"/>
      </left>
      <right/>
      <top style="thin">
        <color theme="4" tint="0.39997558519241921"/>
      </top>
      <bottom/>
      <diagonal/>
    </border>
    <border>
      <left style="medium">
        <color indexed="64"/>
      </left>
      <right/>
      <top style="hair">
        <color indexed="64"/>
      </top>
      <bottom style="hair">
        <color indexed="64"/>
      </bottom>
      <diagonal/>
    </border>
    <border>
      <left style="hair">
        <color indexed="64"/>
      </left>
      <right/>
      <top style="thin">
        <color theme="4" tint="0.39997558519241921"/>
      </top>
      <bottom style="thin">
        <color theme="4" tint="0.39997558519241921"/>
      </bottom>
      <diagonal/>
    </border>
    <border>
      <left style="medium">
        <color indexed="64"/>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9" tint="0.39997558519241921"/>
      </left>
      <right/>
      <top/>
      <bottom/>
      <diagonal/>
    </border>
    <border>
      <left style="thin">
        <color theme="9" tint="0.39997558519241921"/>
      </left>
      <right/>
      <top style="thin">
        <color theme="4" tint="0.39997558519241921"/>
      </top>
      <bottom/>
      <diagonal/>
    </border>
  </borders>
  <cellStyleXfs count="12">
    <xf numFmtId="0" fontId="0" fillId="0" borderId="0"/>
    <xf numFmtId="9" fontId="3" fillId="0" borderId="0" applyFont="0" applyFill="0" applyBorder="0" applyAlignment="0" applyProtection="0"/>
    <xf numFmtId="0" fontId="1" fillId="0" borderId="0"/>
    <xf numFmtId="0" fontId="4" fillId="0" borderId="0" applyNumberFormat="0" applyFill="0" applyBorder="0" applyAlignment="0" applyProtection="0"/>
    <xf numFmtId="0" fontId="3" fillId="0" borderId="0" applyNumberFormat="0" applyFill="0" applyProtection="0">
      <alignment horizontal="right" indent="1"/>
    </xf>
    <xf numFmtId="166" fontId="3" fillId="0" borderId="10">
      <alignment horizontal="center" vertical="center"/>
    </xf>
    <xf numFmtId="0" fontId="5" fillId="0" borderId="0" applyNumberFormat="0" applyFill="0" applyAlignment="0" applyProtection="0"/>
    <xf numFmtId="0" fontId="5" fillId="0" borderId="0" applyNumberFormat="0" applyFill="0" applyProtection="0">
      <alignment vertical="top"/>
    </xf>
    <xf numFmtId="0" fontId="6" fillId="0" borderId="0" applyNumberFormat="0" applyFill="0" applyBorder="0" applyAlignment="0" applyProtection="0">
      <alignment vertical="top"/>
      <protection locked="0"/>
    </xf>
    <xf numFmtId="0" fontId="3" fillId="0" borderId="20" applyFill="0">
      <alignment horizontal="center" vertical="center"/>
    </xf>
    <xf numFmtId="0" fontId="3" fillId="0" borderId="20" applyFill="0">
      <alignment horizontal="left" vertical="center" indent="2"/>
    </xf>
    <xf numFmtId="168" fontId="3" fillId="0" borderId="20" applyFill="0">
      <alignment horizontal="center" vertical="center"/>
    </xf>
  </cellStyleXfs>
  <cellXfs count="157">
    <xf numFmtId="0" fontId="0" fillId="0" borderId="0" xfId="0"/>
    <xf numFmtId="14"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0" xfId="0" pivotButton="1"/>
    <xf numFmtId="0" fontId="0" fillId="0" borderId="0" xfId="0" applyAlignment="1">
      <alignment horizontal="left"/>
    </xf>
    <xf numFmtId="0" fontId="0" fillId="0" borderId="0" xfId="0" applyProtection="1">
      <protection locked="0"/>
    </xf>
    <xf numFmtId="0" fontId="8" fillId="11" borderId="28" xfId="0" applyFont="1" applyFill="1" applyBorder="1" applyAlignment="1" applyProtection="1">
      <alignment horizontal="center" vertical="center"/>
      <protection locked="0"/>
    </xf>
    <xf numFmtId="14" fontId="8" fillId="11" borderId="28" xfId="0" applyNumberFormat="1" applyFont="1" applyFill="1" applyBorder="1" applyAlignment="1" applyProtection="1">
      <alignment horizontal="center" vertical="center"/>
      <protection locked="0"/>
    </xf>
    <xf numFmtId="14" fontId="1" fillId="0" borderId="0" xfId="0" applyNumberFormat="1" applyFont="1" applyProtection="1">
      <protection locked="0"/>
    </xf>
    <xf numFmtId="0" fontId="0" fillId="10" borderId="35" xfId="0" applyFill="1" applyBorder="1" applyProtection="1">
      <protection locked="0"/>
    </xf>
    <xf numFmtId="0" fontId="0" fillId="10" borderId="36" xfId="0" applyFill="1" applyBorder="1" applyProtection="1">
      <protection locked="0"/>
    </xf>
    <xf numFmtId="0" fontId="0" fillId="10" borderId="37" xfId="0" applyFill="1" applyBorder="1" applyProtection="1">
      <protection locked="0"/>
    </xf>
    <xf numFmtId="0" fontId="0" fillId="10" borderId="38" xfId="0" applyFill="1" applyBorder="1" applyProtection="1">
      <protection locked="0"/>
    </xf>
    <xf numFmtId="0" fontId="9" fillId="10" borderId="39" xfId="0" applyFont="1" applyFill="1" applyBorder="1" applyAlignment="1" applyProtection="1">
      <alignment vertical="top"/>
      <protection locked="0"/>
    </xf>
    <xf numFmtId="0" fontId="0" fillId="10" borderId="0" xfId="0" applyFill="1" applyProtection="1">
      <protection locked="0"/>
    </xf>
    <xf numFmtId="0" fontId="0" fillId="10" borderId="39" xfId="0" applyFill="1" applyBorder="1" applyProtection="1">
      <protection locked="0"/>
    </xf>
    <xf numFmtId="0" fontId="11" fillId="9" borderId="9" xfId="0" applyFont="1" applyFill="1" applyBorder="1" applyAlignment="1" applyProtection="1">
      <alignment horizontal="center" vertical="center"/>
      <protection locked="0"/>
    </xf>
    <xf numFmtId="0" fontId="11" fillId="9" borderId="8" xfId="0" applyFont="1" applyFill="1" applyBorder="1" applyAlignment="1" applyProtection="1">
      <alignment horizontal="center" vertical="center" wrapText="1"/>
      <protection locked="0"/>
    </xf>
    <xf numFmtId="0" fontId="0" fillId="0" borderId="34" xfId="0" applyBorder="1" applyProtection="1">
      <protection locked="0"/>
    </xf>
    <xf numFmtId="0" fontId="11" fillId="9" borderId="8" xfId="0" applyFont="1" applyFill="1" applyBorder="1" applyAlignment="1" applyProtection="1">
      <alignment horizontal="center" vertical="center"/>
      <protection locked="0"/>
    </xf>
    <xf numFmtId="14" fontId="8" fillId="10" borderId="0" xfId="0" applyNumberFormat="1" applyFont="1" applyFill="1" applyProtection="1">
      <protection locked="0"/>
    </xf>
    <xf numFmtId="0" fontId="0" fillId="10" borderId="31" xfId="0" applyFill="1" applyBorder="1" applyProtection="1">
      <protection locked="0"/>
    </xf>
    <xf numFmtId="0" fontId="0" fillId="0" borderId="43" xfId="0" applyBorder="1" applyProtection="1">
      <protection locked="0"/>
    </xf>
    <xf numFmtId="0" fontId="8" fillId="10" borderId="0" xfId="0" applyFont="1" applyFill="1" applyProtection="1">
      <protection locked="0"/>
    </xf>
    <xf numFmtId="0" fontId="0" fillId="10" borderId="40" xfId="0" applyFill="1" applyBorder="1" applyProtection="1">
      <protection locked="0"/>
    </xf>
    <xf numFmtId="0" fontId="0" fillId="10" borderId="41" xfId="0" applyFill="1" applyBorder="1" applyProtection="1">
      <protection locked="0"/>
    </xf>
    <xf numFmtId="0" fontId="0" fillId="10" borderId="42" xfId="0" applyFill="1" applyBorder="1" applyProtection="1">
      <protection locked="0"/>
    </xf>
    <xf numFmtId="0" fontId="14" fillId="0" borderId="0" xfId="0" applyFont="1" applyAlignment="1">
      <alignment horizontal="center" vertical="center"/>
    </xf>
    <xf numFmtId="0" fontId="15" fillId="0" borderId="0" xfId="7" applyFont="1" applyAlignment="1">
      <alignment horizontal="left" vertical="center" indent="1"/>
    </xf>
    <xf numFmtId="0" fontId="19" fillId="0" borderId="0" xfId="2" applyFont="1" applyAlignment="1">
      <alignment wrapText="1"/>
    </xf>
    <xf numFmtId="0" fontId="17" fillId="0" borderId="0" xfId="0" applyFont="1"/>
    <xf numFmtId="0" fontId="20" fillId="0" borderId="0" xfId="0" applyFont="1"/>
    <xf numFmtId="0" fontId="21" fillId="0" borderId="0" xfId="0" applyFont="1"/>
    <xf numFmtId="0" fontId="19" fillId="0" borderId="0" xfId="2" applyFont="1"/>
    <xf numFmtId="0" fontId="16" fillId="0" borderId="0" xfId="6" applyFont="1" applyAlignment="1">
      <alignment horizontal="left" vertical="center" indent="1"/>
    </xf>
    <xf numFmtId="0" fontId="17" fillId="0" borderId="0" xfId="0" applyFont="1" applyAlignment="1">
      <alignment horizontal="center"/>
    </xf>
    <xf numFmtId="0" fontId="22" fillId="0" borderId="0" xfId="0" applyFont="1" applyAlignment="1">
      <alignment horizontal="left" indent="1"/>
    </xf>
    <xf numFmtId="0" fontId="17" fillId="0" borderId="0" xfId="4" applyFont="1">
      <alignment horizontal="right" indent="1"/>
    </xf>
    <xf numFmtId="0" fontId="20" fillId="0" borderId="0" xfId="8" applyFont="1" applyAlignment="1" applyProtection="1">
      <alignment horizontal="left" vertical="top" indent="1"/>
    </xf>
    <xf numFmtId="0" fontId="17" fillId="0" borderId="0" xfId="0" applyFont="1" applyAlignment="1">
      <alignment horizontal="left" indent="1"/>
    </xf>
    <xf numFmtId="165" fontId="25" fillId="5" borderId="15" xfId="0" applyNumberFormat="1" applyFont="1" applyFill="1" applyBorder="1" applyAlignment="1">
      <alignment horizontal="center" vertical="center"/>
    </xf>
    <xf numFmtId="165" fontId="25" fillId="5" borderId="11" xfId="0" applyNumberFormat="1" applyFont="1" applyFill="1" applyBorder="1" applyAlignment="1">
      <alignment horizontal="center" vertical="center"/>
    </xf>
    <xf numFmtId="165" fontId="25" fillId="5" borderId="13" xfId="0" applyNumberFormat="1" applyFont="1" applyFill="1" applyBorder="1" applyAlignment="1">
      <alignment horizontal="center" vertical="center"/>
    </xf>
    <xf numFmtId="0" fontId="26" fillId="3" borderId="17" xfId="0" applyFont="1" applyFill="1" applyBorder="1" applyAlignment="1">
      <alignment horizontal="center" vertical="center" shrinkToFit="1"/>
    </xf>
    <xf numFmtId="0" fontId="26" fillId="3" borderId="18" xfId="0" applyFont="1" applyFill="1" applyBorder="1" applyAlignment="1">
      <alignment horizontal="center" vertical="center" shrinkToFit="1"/>
    </xf>
    <xf numFmtId="0" fontId="26" fillId="3" borderId="19" xfId="0" applyFont="1" applyFill="1" applyBorder="1" applyAlignment="1">
      <alignment horizontal="center" vertical="center" shrinkToFit="1"/>
    </xf>
    <xf numFmtId="0" fontId="23" fillId="0" borderId="0" xfId="0" applyFont="1"/>
    <xf numFmtId="0" fontId="23" fillId="0" borderId="0" xfId="0" applyFont="1" applyAlignment="1">
      <alignment wrapText="1"/>
    </xf>
    <xf numFmtId="0" fontId="17" fillId="0" borderId="44" xfId="0" applyFont="1" applyBorder="1" applyAlignment="1">
      <alignment vertical="center"/>
    </xf>
    <xf numFmtId="0" fontId="23" fillId="2" borderId="22" xfId="10" applyFont="1" applyFill="1" applyBorder="1">
      <alignment horizontal="left" vertical="center" indent="2"/>
    </xf>
    <xf numFmtId="0" fontId="23" fillId="2" borderId="22" xfId="9" applyFont="1" applyFill="1" applyBorder="1" applyAlignment="1">
      <alignment vertical="center"/>
    </xf>
    <xf numFmtId="9" fontId="20" fillId="2" borderId="22" xfId="1" applyFont="1" applyFill="1" applyBorder="1" applyAlignment="1">
      <alignment horizontal="center" vertical="center"/>
    </xf>
    <xf numFmtId="169" fontId="23" fillId="2" borderId="22" xfId="11" applyNumberFormat="1" applyFont="1" applyFill="1" applyBorder="1">
      <alignment horizontal="center" vertical="center"/>
    </xf>
    <xf numFmtId="0" fontId="27" fillId="0" borderId="0" xfId="0" applyFont="1" applyAlignment="1">
      <alignment horizontal="center" vertical="center"/>
    </xf>
    <xf numFmtId="0" fontId="27" fillId="0" borderId="20" xfId="0" applyFont="1" applyBorder="1" applyAlignment="1">
      <alignment horizontal="center" vertical="center"/>
    </xf>
    <xf numFmtId="0" fontId="17" fillId="0" borderId="23" xfId="0" applyFont="1" applyBorder="1" applyAlignment="1">
      <alignment vertical="center"/>
    </xf>
    <xf numFmtId="0" fontId="17" fillId="0" borderId="0" xfId="0" applyFont="1" applyAlignment="1">
      <alignment vertical="center"/>
    </xf>
    <xf numFmtId="0" fontId="23" fillId="2" borderId="24" xfId="10" applyFont="1" applyFill="1" applyBorder="1">
      <alignment horizontal="left" vertical="center" indent="2"/>
    </xf>
    <xf numFmtId="0" fontId="23" fillId="2" borderId="24" xfId="9" applyFont="1" applyFill="1" applyBorder="1" applyAlignment="1">
      <alignment vertical="center"/>
    </xf>
    <xf numFmtId="9" fontId="20" fillId="2" borderId="24" xfId="1" applyFont="1" applyFill="1" applyBorder="1" applyAlignment="1">
      <alignment horizontal="center" vertical="center"/>
    </xf>
    <xf numFmtId="169" fontId="23" fillId="2" borderId="24" xfId="11" applyNumberFormat="1" applyFont="1" applyFill="1" applyBorder="1">
      <alignment horizontal="center" vertical="center"/>
    </xf>
    <xf numFmtId="0" fontId="17" fillId="0" borderId="23" xfId="0" applyFont="1" applyBorder="1" applyAlignment="1">
      <alignment horizontal="right" vertical="center"/>
    </xf>
    <xf numFmtId="0" fontId="23" fillId="6" borderId="25" xfId="10" applyFont="1" applyFill="1" applyBorder="1">
      <alignment horizontal="left" vertical="center" indent="2"/>
    </xf>
    <xf numFmtId="0" fontId="23" fillId="6" borderId="25" xfId="9" applyFont="1" applyFill="1" applyBorder="1" applyAlignment="1">
      <alignment vertical="center"/>
    </xf>
    <xf numFmtId="9" fontId="20" fillId="6" borderId="25" xfId="1" applyFont="1" applyFill="1" applyBorder="1" applyAlignment="1">
      <alignment horizontal="center" vertical="center"/>
    </xf>
    <xf numFmtId="169" fontId="23" fillId="6" borderId="25" xfId="11" applyNumberFormat="1" applyFont="1" applyFill="1" applyBorder="1">
      <alignment horizontal="center" vertical="center"/>
    </xf>
    <xf numFmtId="0" fontId="23" fillId="7" borderId="26" xfId="10" applyFont="1" applyFill="1" applyBorder="1">
      <alignment horizontal="left" vertical="center" indent="2"/>
    </xf>
    <xf numFmtId="0" fontId="23" fillId="7" borderId="26" xfId="9" applyFont="1" applyFill="1" applyBorder="1" applyAlignment="1">
      <alignment vertical="center"/>
    </xf>
    <xf numFmtId="9" fontId="20" fillId="7" borderId="26" xfId="1" applyFont="1" applyFill="1" applyBorder="1" applyAlignment="1">
      <alignment horizontal="center" vertical="center"/>
    </xf>
    <xf numFmtId="169" fontId="23" fillId="7" borderId="26" xfId="11" applyNumberFormat="1" applyFont="1" applyFill="1" applyBorder="1">
      <alignment horizontal="center" vertical="center"/>
    </xf>
    <xf numFmtId="0" fontId="23" fillId="8" borderId="27" xfId="10" applyFont="1" applyFill="1" applyBorder="1">
      <alignment horizontal="left" vertical="center" indent="2"/>
    </xf>
    <xf numFmtId="0" fontId="23" fillId="8" borderId="27" xfId="9" applyFont="1" applyFill="1" applyBorder="1" applyAlignment="1">
      <alignment vertical="center"/>
    </xf>
    <xf numFmtId="9" fontId="20" fillId="8" borderId="27" xfId="1" applyFont="1" applyFill="1" applyBorder="1" applyAlignment="1">
      <alignment horizontal="center" vertical="center"/>
    </xf>
    <xf numFmtId="169" fontId="23" fillId="8" borderId="27" xfId="11" applyNumberFormat="1" applyFont="1" applyFill="1" applyBorder="1">
      <alignment horizontal="center" vertical="center"/>
    </xf>
    <xf numFmtId="0" fontId="23" fillId="0" borderId="0" xfId="10" applyFont="1" applyBorder="1">
      <alignment horizontal="left" vertical="center" indent="2"/>
    </xf>
    <xf numFmtId="0" fontId="23" fillId="0" borderId="0" xfId="9" applyFont="1" applyBorder="1" applyAlignment="1">
      <alignment vertical="center"/>
    </xf>
    <xf numFmtId="9" fontId="20" fillId="0" borderId="0" xfId="1" applyFont="1" applyBorder="1" applyAlignment="1">
      <alignment horizontal="center" vertical="center"/>
    </xf>
    <xf numFmtId="169" fontId="23" fillId="0" borderId="0" xfId="11" applyNumberFormat="1" applyFont="1" applyBorder="1">
      <alignment horizontal="center" vertical="center"/>
    </xf>
    <xf numFmtId="0" fontId="17" fillId="0" borderId="21" xfId="0" applyFont="1" applyBorder="1" applyAlignment="1">
      <alignment vertical="center"/>
    </xf>
    <xf numFmtId="0" fontId="28" fillId="3" borderId="0" xfId="0" applyFont="1" applyFill="1" applyAlignment="1">
      <alignment horizontal="left" vertical="center" indent="1"/>
    </xf>
    <xf numFmtId="0" fontId="28" fillId="3" borderId="0" xfId="0" applyFont="1" applyFill="1" applyAlignment="1">
      <alignment vertical="center"/>
    </xf>
    <xf numFmtId="9" fontId="20" fillId="3" borderId="0" xfId="1" applyFont="1" applyFill="1" applyBorder="1" applyAlignment="1">
      <alignment horizontal="center" vertical="center"/>
    </xf>
    <xf numFmtId="169" fontId="29" fillId="3" borderId="0" xfId="0" applyNumberFormat="1" applyFont="1" applyFill="1" applyAlignment="1">
      <alignment horizontal="left" vertical="center"/>
    </xf>
    <xf numFmtId="169" fontId="20" fillId="3" borderId="0" xfId="0" applyNumberFormat="1" applyFont="1" applyFill="1" applyAlignment="1">
      <alignment horizontal="center" vertical="center"/>
    </xf>
    <xf numFmtId="0" fontId="27" fillId="3" borderId="20" xfId="0" applyFont="1" applyFill="1" applyBorder="1" applyAlignment="1">
      <alignment horizontal="center" vertical="center"/>
    </xf>
    <xf numFmtId="0" fontId="17" fillId="3" borderId="0" xfId="0" applyFont="1" applyFill="1" applyAlignment="1">
      <alignment vertical="center"/>
    </xf>
    <xf numFmtId="169" fontId="17" fillId="0" borderId="0" xfId="0" applyNumberFormat="1" applyFont="1" applyAlignment="1">
      <alignment horizontal="center"/>
    </xf>
    <xf numFmtId="169" fontId="17" fillId="0" borderId="0" xfId="0" applyNumberFormat="1" applyFont="1"/>
    <xf numFmtId="0" fontId="17" fillId="0" borderId="0" xfId="0" applyFont="1" applyAlignment="1">
      <alignment horizontal="right" vertical="center"/>
    </xf>
    <xf numFmtId="0" fontId="30" fillId="0" borderId="0" xfId="0" applyFont="1"/>
    <xf numFmtId="169" fontId="19" fillId="0" borderId="0" xfId="0" applyNumberFormat="1" applyFont="1" applyAlignment="1">
      <alignment horizontal="center"/>
    </xf>
    <xf numFmtId="0" fontId="29" fillId="0" borderId="0" xfId="8" applyFont="1" applyAlignment="1" applyProtection="1"/>
    <xf numFmtId="14" fontId="0" fillId="0" borderId="0" xfId="0" applyNumberFormat="1" applyProtection="1">
      <protection locked="0"/>
    </xf>
    <xf numFmtId="14" fontId="1" fillId="9" borderId="0" xfId="0" applyNumberFormat="1" applyFont="1" applyFill="1" applyProtection="1">
      <protection locked="0"/>
    </xf>
    <xf numFmtId="14" fontId="8" fillId="13" borderId="46" xfId="0" applyNumberFormat="1" applyFont="1" applyFill="1" applyBorder="1" applyAlignment="1">
      <alignment horizontal="center" vertical="center"/>
    </xf>
    <xf numFmtId="0" fontId="8" fillId="11" borderId="46" xfId="0" applyFont="1" applyFill="1" applyBorder="1" applyAlignment="1">
      <alignment horizontal="center" vertical="center"/>
    </xf>
    <xf numFmtId="14" fontId="8" fillId="11" borderId="46" xfId="0" applyNumberFormat="1" applyFont="1" applyFill="1" applyBorder="1" applyAlignment="1">
      <alignment horizontal="center" vertical="center"/>
    </xf>
    <xf numFmtId="0" fontId="0" fillId="11" borderId="47" xfId="0" applyFill="1" applyBorder="1" applyAlignment="1">
      <alignment horizontal="center"/>
    </xf>
    <xf numFmtId="1" fontId="8" fillId="13" borderId="48" xfId="0" applyNumberFormat="1" applyFont="1" applyFill="1" applyBorder="1" applyAlignment="1">
      <alignment horizontal="center" vertical="center"/>
    </xf>
    <xf numFmtId="14" fontId="0" fillId="14" borderId="49" xfId="0" applyNumberFormat="1" applyFill="1" applyBorder="1"/>
    <xf numFmtId="0" fontId="8" fillId="0" borderId="46" xfId="0" applyFont="1" applyBorder="1" applyAlignment="1">
      <alignment horizontal="center" vertical="center"/>
    </xf>
    <xf numFmtId="14" fontId="8" fillId="0" borderId="46" xfId="0" applyNumberFormat="1" applyFont="1" applyBorder="1" applyAlignment="1">
      <alignment horizontal="center" vertical="center"/>
    </xf>
    <xf numFmtId="0" fontId="0" fillId="0" borderId="47" xfId="0" applyBorder="1" applyAlignment="1">
      <alignment horizontal="center"/>
    </xf>
    <xf numFmtId="0" fontId="8" fillId="13" borderId="46" xfId="0" applyFont="1" applyFill="1" applyBorder="1" applyAlignment="1">
      <alignment horizontal="center" vertical="center"/>
    </xf>
    <xf numFmtId="0" fontId="0" fillId="13" borderId="50" xfId="0" applyFill="1" applyBorder="1" applyAlignment="1">
      <alignment horizontal="center"/>
    </xf>
    <xf numFmtId="0" fontId="0" fillId="0" borderId="50" xfId="0" applyBorder="1" applyAlignment="1">
      <alignment horizontal="center"/>
    </xf>
    <xf numFmtId="14" fontId="8" fillId="11" borderId="51" xfId="0" applyNumberFormat="1" applyFont="1" applyFill="1" applyBorder="1" applyAlignment="1">
      <alignment horizontal="center" vertical="center"/>
    </xf>
    <xf numFmtId="0" fontId="8" fillId="11" borderId="51" xfId="0" applyFont="1" applyFill="1" applyBorder="1" applyAlignment="1">
      <alignment horizontal="center" vertical="center"/>
    </xf>
    <xf numFmtId="14" fontId="0" fillId="11" borderId="28" xfId="0" applyNumberFormat="1" applyFill="1" applyBorder="1" applyAlignment="1" applyProtection="1">
      <alignment horizontal="center" vertical="center"/>
      <protection hidden="1"/>
    </xf>
    <xf numFmtId="0" fontId="8" fillId="13" borderId="51" xfId="0" applyFont="1" applyFill="1" applyBorder="1" applyAlignment="1">
      <alignment horizontal="center" vertical="center"/>
    </xf>
    <xf numFmtId="0" fontId="0" fillId="11" borderId="50" xfId="0" applyFill="1" applyBorder="1" applyAlignment="1">
      <alignment horizontal="center"/>
    </xf>
    <xf numFmtId="0" fontId="0" fillId="13" borderId="47" xfId="0" applyFill="1" applyBorder="1" applyAlignment="1">
      <alignment horizontal="center"/>
    </xf>
    <xf numFmtId="0" fontId="7" fillId="11" borderId="50" xfId="0" applyFont="1" applyFill="1" applyBorder="1" applyAlignment="1">
      <alignment horizontal="center" vertical="center"/>
    </xf>
    <xf numFmtId="0" fontId="0" fillId="11" borderId="52" xfId="0" applyFill="1" applyBorder="1" applyAlignment="1">
      <alignment horizontal="center"/>
    </xf>
    <xf numFmtId="1" fontId="8" fillId="13" borderId="53" xfId="0" applyNumberFormat="1" applyFont="1" applyFill="1" applyBorder="1" applyAlignment="1">
      <alignment horizontal="center" vertical="center"/>
    </xf>
    <xf numFmtId="0" fontId="7" fillId="11" borderId="29" xfId="0" applyFont="1" applyFill="1" applyBorder="1" applyAlignment="1" applyProtection="1">
      <alignment horizontal="center" vertical="center"/>
      <protection locked="0"/>
    </xf>
    <xf numFmtId="0" fontId="0" fillId="13" borderId="45" xfId="0" applyFill="1" applyBorder="1"/>
    <xf numFmtId="0" fontId="0" fillId="0" borderId="45" xfId="0" applyBorder="1"/>
    <xf numFmtId="0" fontId="0" fillId="13" borderId="54" xfId="0" applyFill="1" applyBorder="1"/>
    <xf numFmtId="14" fontId="0" fillId="14" borderId="56" xfId="0" applyNumberFormat="1" applyFill="1" applyBorder="1"/>
    <xf numFmtId="0" fontId="12" fillId="12" borderId="0" xfId="0" applyFont="1" applyFill="1" applyAlignment="1">
      <alignment horizontal="center" vertical="center"/>
    </xf>
    <xf numFmtId="0" fontId="12" fillId="12" borderId="55" xfId="0" applyFont="1" applyFill="1" applyBorder="1" applyAlignment="1">
      <alignment horizontal="center" vertical="center"/>
    </xf>
    <xf numFmtId="170" fontId="0" fillId="14" borderId="49" xfId="0" applyNumberFormat="1" applyFill="1" applyBorder="1"/>
    <xf numFmtId="170" fontId="0" fillId="14" borderId="56" xfId="0" applyNumberFormat="1" applyFill="1" applyBorder="1"/>
    <xf numFmtId="170" fontId="0" fillId="0" borderId="0" xfId="0" applyNumberFormat="1"/>
    <xf numFmtId="0" fontId="10" fillId="9" borderId="1" xfId="0" applyFont="1" applyFill="1" applyBorder="1" applyAlignment="1" applyProtection="1">
      <alignment horizontal="center" vertical="top"/>
      <protection locked="0"/>
    </xf>
    <xf numFmtId="0" fontId="10" fillId="9" borderId="2" xfId="0" applyFont="1" applyFill="1" applyBorder="1" applyAlignment="1" applyProtection="1">
      <alignment horizontal="center" vertical="top"/>
      <protection locked="0"/>
    </xf>
    <xf numFmtId="0" fontId="10" fillId="9" borderId="3" xfId="0" applyFont="1" applyFill="1" applyBorder="1" applyAlignment="1" applyProtection="1">
      <alignment horizontal="center" vertical="top"/>
      <protection locked="0"/>
    </xf>
    <xf numFmtId="0" fontId="10" fillId="9" borderId="5" xfId="0" applyFont="1" applyFill="1" applyBorder="1" applyAlignment="1" applyProtection="1">
      <alignment horizontal="center" vertical="top"/>
      <protection locked="0"/>
    </xf>
    <xf numFmtId="0" fontId="10" fillId="9" borderId="6" xfId="0" applyFont="1" applyFill="1" applyBorder="1" applyAlignment="1" applyProtection="1">
      <alignment horizontal="center" vertical="top"/>
      <protection locked="0"/>
    </xf>
    <xf numFmtId="0" fontId="10" fillId="9" borderId="7" xfId="0" applyFont="1" applyFill="1" applyBorder="1" applyAlignment="1" applyProtection="1">
      <alignment horizontal="center" vertical="top"/>
      <protection locked="0"/>
    </xf>
    <xf numFmtId="0" fontId="7" fillId="11" borderId="29" xfId="0" applyFont="1" applyFill="1" applyBorder="1" applyAlignment="1" applyProtection="1">
      <alignment horizontal="center" vertical="center"/>
      <protection locked="0"/>
    </xf>
    <xf numFmtId="0" fontId="7" fillId="11" borderId="30" xfId="0" applyFont="1" applyFill="1" applyBorder="1" applyAlignment="1" applyProtection="1">
      <alignment horizontal="center" vertical="center"/>
      <protection locked="0"/>
    </xf>
    <xf numFmtId="0" fontId="7" fillId="11" borderId="0" xfId="0" applyFont="1" applyFill="1" applyAlignment="1" applyProtection="1">
      <alignment horizontal="center" vertical="center"/>
      <protection locked="0"/>
    </xf>
    <xf numFmtId="0" fontId="7" fillId="11" borderId="31" xfId="0" applyFont="1" applyFill="1" applyBorder="1" applyAlignment="1" applyProtection="1">
      <alignment horizontal="center" vertical="center"/>
      <protection locked="0"/>
    </xf>
    <xf numFmtId="0" fontId="7" fillId="11" borderId="4" xfId="0" applyFont="1" applyFill="1" applyBorder="1" applyAlignment="1" applyProtection="1">
      <alignment horizontal="center" vertical="center"/>
      <protection locked="0"/>
    </xf>
    <xf numFmtId="0" fontId="7" fillId="11" borderId="32" xfId="0" applyFont="1" applyFill="1" applyBorder="1" applyAlignment="1" applyProtection="1">
      <alignment horizontal="center" vertical="center"/>
      <protection locked="0"/>
    </xf>
    <xf numFmtId="0" fontId="7" fillId="11" borderId="33" xfId="0" applyFont="1" applyFill="1" applyBorder="1" applyAlignment="1" applyProtection="1">
      <alignment horizontal="center" vertical="center"/>
      <protection locked="0"/>
    </xf>
    <xf numFmtId="0" fontId="13" fillId="0" borderId="0" xfId="3" applyFont="1" applyAlignment="1">
      <alignment horizontal="center" wrapText="1"/>
    </xf>
    <xf numFmtId="0" fontId="18" fillId="0" borderId="0" xfId="4" applyFont="1" applyAlignment="1">
      <alignment horizontal="left"/>
    </xf>
    <xf numFmtId="0" fontId="14" fillId="0" borderId="0" xfId="0" applyFont="1"/>
    <xf numFmtId="14" fontId="33" fillId="0" borderId="0" xfId="5" applyNumberFormat="1" applyFont="1" applyBorder="1" applyAlignment="1">
      <alignment horizontal="left"/>
    </xf>
    <xf numFmtId="14" fontId="34" fillId="0" borderId="0" xfId="0" applyNumberFormat="1" applyFont="1"/>
    <xf numFmtId="0" fontId="31" fillId="0" borderId="0" xfId="4" applyFont="1" applyAlignment="1">
      <alignment horizontal="left" wrapText="1"/>
    </xf>
    <xf numFmtId="0" fontId="32" fillId="0" borderId="0" xfId="0" applyFont="1" applyAlignment="1">
      <alignment wrapText="1"/>
    </xf>
    <xf numFmtId="0" fontId="33" fillId="0" borderId="0" xfId="0" applyFont="1" applyAlignment="1">
      <alignment horizontal="left"/>
    </xf>
    <xf numFmtId="0" fontId="34" fillId="0" borderId="0" xfId="0" applyFont="1"/>
    <xf numFmtId="167" fontId="23" fillId="3" borderId="11" xfId="0" applyNumberFormat="1" applyFont="1" applyFill="1" applyBorder="1" applyAlignment="1">
      <alignment horizontal="center" vertical="center" wrapText="1"/>
    </xf>
    <xf numFmtId="167" fontId="23" fillId="3" borderId="12" xfId="0" applyNumberFormat="1" applyFont="1" applyFill="1" applyBorder="1" applyAlignment="1">
      <alignment horizontal="center" vertical="center" wrapText="1"/>
    </xf>
    <xf numFmtId="167" fontId="23" fillId="3" borderId="13" xfId="0" applyNumberFormat="1" applyFont="1" applyFill="1" applyBorder="1" applyAlignment="1">
      <alignment horizontal="center" vertical="center" wrapText="1"/>
    </xf>
    <xf numFmtId="0" fontId="19" fillId="0" borderId="0" xfId="2" applyFont="1" applyAlignment="1">
      <alignment wrapText="1"/>
    </xf>
    <xf numFmtId="0" fontId="24" fillId="4" borderId="14" xfId="0" applyFont="1" applyFill="1" applyBorder="1" applyAlignment="1">
      <alignment horizontal="left" vertical="center" indent="1"/>
    </xf>
    <xf numFmtId="0" fontId="17" fillId="3" borderId="16" xfId="0" applyFont="1" applyFill="1" applyBorder="1" applyAlignment="1">
      <alignment horizontal="left" indent="1"/>
    </xf>
    <xf numFmtId="0" fontId="24" fillId="4" borderId="14" xfId="0" applyFont="1" applyFill="1" applyBorder="1" applyAlignment="1">
      <alignment vertical="center"/>
    </xf>
    <xf numFmtId="0" fontId="17" fillId="3" borderId="16" xfId="0" applyFont="1" applyFill="1" applyBorder="1"/>
    <xf numFmtId="0" fontId="24" fillId="4" borderId="14" xfId="0" applyFont="1" applyFill="1" applyBorder="1" applyAlignment="1">
      <alignment horizontal="center" vertical="center"/>
    </xf>
  </cellXfs>
  <cellStyles count="12">
    <cellStyle name="Date" xfId="11" xr:uid="{2CBF4C7A-2FA5-4F5A-9F5D-4525DE00BF41}"/>
    <cellStyle name="Encabezado 1 2" xfId="6" xr:uid="{68748F79-EE33-4647-9F62-6A838554C4E0}"/>
    <cellStyle name="Hipervínculo" xfId="8" builtinId="8"/>
    <cellStyle name="Name" xfId="9" xr:uid="{84766822-8B72-40F4-8F30-88A47D0A9A4F}"/>
    <cellStyle name="Normal" xfId="0" builtinId="0"/>
    <cellStyle name="Porcentaje" xfId="1" builtinId="5"/>
    <cellStyle name="Project Start" xfId="5" xr:uid="{223AA39F-F5B0-4163-ACA7-4CF4413AF5CF}"/>
    <cellStyle name="Task" xfId="10" xr:uid="{ACA01E99-C4C7-465C-9E5C-BB353092E65D}"/>
    <cellStyle name="Título 2 2" xfId="7" xr:uid="{DCAE5291-542C-4571-B431-2A027EC7B018}"/>
    <cellStyle name="Título 3 2" xfId="4" xr:uid="{A775C992-CD04-43CE-B851-01D7B70BF158}"/>
    <cellStyle name="Título 4" xfId="3" xr:uid="{0C3AA1A8-7C83-4FC1-BB50-DBCFAC5C097D}"/>
    <cellStyle name="zHiddenText" xfId="2" xr:uid="{A8A73A8D-9E6A-4ECA-94F0-143FE94E5FB4}"/>
  </cellStyles>
  <dxfs count="33">
    <dxf>
      <border>
        <left style="thin">
          <color theme="5"/>
        </left>
        <right style="thin">
          <color theme="5"/>
        </right>
        <vertical/>
        <horizontal/>
      </border>
    </dxf>
    <dxf>
      <fill>
        <patternFill>
          <bgColor theme="8"/>
        </patternFill>
      </fill>
      <border>
        <left/>
        <right/>
      </border>
    </dxf>
    <dxf>
      <fill>
        <patternFill>
          <bgColor theme="8" tint="0.59996337778862885"/>
        </patternFill>
      </fill>
      <border>
        <left/>
        <right/>
      </border>
    </dxf>
    <dxf>
      <fill>
        <patternFill>
          <bgColor theme="6" tint="0.39994506668294322"/>
        </patternFill>
      </fill>
      <border>
        <left/>
        <right/>
        <top style="thin">
          <color theme="0" tint="-4.9989318521683403E-2"/>
        </top>
        <bottom style="thin">
          <color theme="0" tint="-4.9989318521683403E-2"/>
        </bottom>
      </border>
    </dxf>
    <dxf>
      <fill>
        <patternFill>
          <bgColor theme="6" tint="0.79998168889431442"/>
        </patternFill>
      </fill>
      <border>
        <top style="thin">
          <color theme="0" tint="-4.9989318521683403E-2"/>
        </top>
        <bottom style="thin">
          <color theme="0" tint="-4.9989318521683403E-2"/>
        </bottom>
      </border>
    </dxf>
    <dxf>
      <fill>
        <patternFill>
          <bgColor theme="5" tint="0.39994506668294322"/>
        </patternFill>
      </fill>
      <border>
        <left/>
        <right/>
        <top style="thin">
          <color theme="0" tint="-4.9989318521683403E-2"/>
        </top>
        <bottom style="thin">
          <color theme="0" tint="-4.9989318521683403E-2"/>
        </bottom>
      </border>
    </dxf>
    <dxf>
      <fill>
        <patternFill>
          <bgColor theme="5" tint="0.79998168889431442"/>
        </patternFill>
      </fill>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ont>
        <b val="0"/>
        <i val="0"/>
        <strike val="0"/>
        <condense val="0"/>
        <extend val="0"/>
        <outline val="0"/>
        <shadow val="0"/>
        <u val="none"/>
        <vertAlign val="baseline"/>
        <sz val="11"/>
        <color rgb="FF002060"/>
        <name val="Trebuchet M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Trebuchet MS"/>
        <family val="2"/>
        <scheme val="none"/>
      </font>
      <alignment horizontal="center" vertical="center" textRotation="0" wrapText="0" indent="0" justifyLastLine="0" shrinkToFit="0" readingOrder="0"/>
    </dxf>
    <dxf>
      <font>
        <b/>
        <i val="0"/>
        <strike val="0"/>
        <condense val="0"/>
        <extend val="0"/>
        <outline val="0"/>
        <shadow val="0"/>
        <u val="none"/>
        <vertAlign val="baseline"/>
        <sz val="14"/>
        <color theme="0"/>
        <name val="Trebuchet MS"/>
        <family val="2"/>
        <scheme val="none"/>
      </font>
      <alignment horizontal="left" vertical="center" textRotation="0" wrapText="0" indent="1" justifyLastLine="0" shrinkToFit="0" readingOrder="0"/>
    </dxf>
    <dxf>
      <numFmt numFmtId="170" formatCode="d/mm/yyyy"/>
    </dxf>
    <dxf>
      <numFmt numFmtId="170" formatCode="d/mm/yyyy"/>
    </dxf>
    <dxf>
      <numFmt numFmtId="170" formatCode="d/mm/yyyy"/>
    </dxf>
    <dxf>
      <numFmt numFmtId="0" formatCode="General"/>
    </dxf>
    <dxf>
      <numFmt numFmtId="0" formatCode="General"/>
    </dxf>
    <dxf>
      <numFmt numFmtId="0" formatCode="General"/>
    </dxf>
    <dxf>
      <numFmt numFmtId="0" formatCode="General"/>
    </dxf>
    <dxf>
      <numFmt numFmtId="170" formatCode="d/mm/yyyy"/>
    </dxf>
    <dxf>
      <numFmt numFmtId="170" formatCode="d/mm/yyyy"/>
      <fill>
        <patternFill patternType="solid">
          <fgColor theme="9" tint="0.79998168889431442"/>
          <bgColor theme="9" tint="0.79998168889431442"/>
        </patternFill>
      </fill>
      <border diagonalUp="0" diagonalDown="0">
        <left style="thin">
          <color theme="9" tint="0.39997558519241921"/>
        </left>
        <right/>
        <top style="thin">
          <color theme="4" tint="0.39997558519241921"/>
        </top>
        <bottom/>
        <vertical/>
        <horizontal/>
      </border>
    </dxf>
    <dxf>
      <numFmt numFmtId="170" formatCode="d/mm/yyyy"/>
      <fill>
        <patternFill patternType="solid">
          <fgColor theme="9" tint="0.79998168889431442"/>
          <bgColor theme="9" tint="0.79998168889431442"/>
        </patternFill>
      </fill>
      <border diagonalUp="0" diagonalDown="0">
        <left style="hair">
          <color indexed="64"/>
        </left>
        <right/>
        <top style="thin">
          <color theme="9" tint="0.39997558519241921"/>
        </top>
        <bottom/>
        <vertical/>
        <horizontal/>
      </border>
    </dxf>
    <dxf>
      <font>
        <b val="0"/>
        <i val="0"/>
        <strike val="0"/>
        <condense val="0"/>
        <extend val="0"/>
        <outline val="0"/>
        <shadow val="0"/>
        <u val="none"/>
        <vertAlign val="baseline"/>
        <sz val="11"/>
        <color theme="1"/>
        <name val="Cascadia Code Light"/>
        <family val="3"/>
        <scheme val="none"/>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ill>
        <patternFill patternType="solid">
          <fgColor indexed="64"/>
          <bgColor rgb="FFF3F6FB"/>
        </patternFill>
      </fill>
      <alignment horizontal="center" vertical="bottom" textRotation="0" wrapText="0" indent="0" justifyLastLine="0" shrinkToFit="0" readingOrder="0"/>
      <border diagonalUp="0" diagonalDown="0">
        <left style="hair">
          <color indexed="64"/>
        </left>
        <right/>
        <top style="hair">
          <color auto="1"/>
        </top>
        <bottom/>
        <vertical/>
        <horizontal/>
      </border>
    </dxf>
    <dxf>
      <font>
        <b val="0"/>
        <i val="0"/>
        <strike val="0"/>
        <condense val="0"/>
        <extend val="0"/>
        <outline val="0"/>
        <shadow val="0"/>
        <u val="none"/>
        <vertAlign val="baseline"/>
        <sz val="11"/>
        <color theme="1"/>
        <name val="Cascadia Code Light"/>
        <family val="3"/>
        <scheme val="none"/>
      </font>
      <numFmt numFmtId="170" formatCode="d/mm/yyyy"/>
      <fill>
        <patternFill patternType="solid">
          <fgColor indexed="64"/>
          <bgColor rgb="FFF3F6FB"/>
        </patternFill>
      </fill>
      <alignment horizontal="center" vertical="center" textRotation="0" wrapText="0" indent="0" justifyLastLine="0" shrinkToFit="0" readingOrder="0"/>
      <border diagonalUp="0" diagonalDown="0">
        <left style="medium">
          <color indexed="64"/>
        </left>
        <right/>
        <top style="hair">
          <color indexed="64"/>
        </top>
        <bottom/>
        <vertical/>
        <horizontal/>
      </border>
    </dxf>
    <dxf>
      <font>
        <b val="0"/>
        <i val="0"/>
        <strike val="0"/>
        <condense val="0"/>
        <extend val="0"/>
        <outline val="0"/>
        <shadow val="0"/>
        <u val="none"/>
        <vertAlign val="baseline"/>
        <sz val="11"/>
        <color theme="1"/>
        <name val="Cascadia Code Light"/>
        <family val="3"/>
        <scheme val="none"/>
      </font>
      <fill>
        <patternFill patternType="solid">
          <fgColor indexed="64"/>
          <bgColor rgb="FFF3F6FB"/>
        </patternFill>
      </fill>
      <alignment horizontal="center" vertical="center" textRotation="0" wrapText="0" indent="0" justifyLastLine="0" shrinkToFit="0" readingOrder="0"/>
      <border diagonalUp="0" diagonalDown="0">
        <left style="medium">
          <color indexed="64"/>
        </left>
        <right/>
        <top style="hair">
          <color indexed="64"/>
        </top>
        <bottom/>
        <vertical/>
        <horizontal/>
      </border>
    </dxf>
    <dxf>
      <font>
        <b val="0"/>
        <i val="0"/>
        <strike val="0"/>
        <condense val="0"/>
        <extend val="0"/>
        <outline val="0"/>
        <shadow val="0"/>
        <u val="none"/>
        <vertAlign val="baseline"/>
        <sz val="11"/>
        <color theme="1"/>
        <name val="Cascadia Code Light"/>
        <family val="3"/>
        <scheme val="none"/>
      </font>
      <fill>
        <patternFill patternType="solid">
          <fgColor indexed="64"/>
          <bgColor rgb="FFF3F6FB"/>
        </patternFill>
      </fill>
      <alignment horizontal="center" vertical="center" textRotation="0" wrapText="0" indent="0" justifyLastLine="0" shrinkToFit="0" readingOrder="0"/>
      <border diagonalUp="0" diagonalDown="0">
        <left style="medium">
          <color indexed="64"/>
        </left>
        <right/>
        <top style="hair">
          <color indexed="64"/>
        </top>
        <bottom/>
        <vertical/>
        <horizontal/>
      </border>
    </dxf>
    <dxf>
      <font>
        <b val="0"/>
        <i val="0"/>
        <strike val="0"/>
        <condense val="0"/>
        <extend val="0"/>
        <outline val="0"/>
        <shadow val="0"/>
        <u val="none"/>
        <vertAlign val="baseline"/>
        <sz val="11"/>
        <color theme="1"/>
        <name val="Cascadia Code Light"/>
        <family val="3"/>
        <scheme val="none"/>
      </font>
      <fill>
        <patternFill patternType="solid">
          <fgColor indexed="64"/>
          <bgColor rgb="FFF3F6FB"/>
        </patternFill>
      </fill>
      <alignment horizontal="center" vertical="center" textRotation="0" wrapText="0" indent="0" justifyLastLine="0" shrinkToFit="0" readingOrder="0"/>
      <border diagonalUp="0" diagonalDown="0">
        <left style="medium">
          <color indexed="64"/>
        </left>
        <right/>
        <top style="hair">
          <color indexed="64"/>
        </top>
        <bottom/>
        <vertical/>
        <horizontal/>
      </border>
    </dxf>
    <dxf>
      <font>
        <b val="0"/>
        <i val="0"/>
        <strike val="0"/>
        <condense val="0"/>
        <extend val="0"/>
        <outline val="0"/>
        <shadow val="0"/>
        <u val="none"/>
        <vertAlign val="baseline"/>
        <sz val="11"/>
        <color theme="1"/>
        <name val="Cascadia Code Light"/>
        <family val="3"/>
        <scheme val="none"/>
      </font>
      <fill>
        <patternFill patternType="solid">
          <fgColor indexed="64"/>
          <bgColor rgb="FFF3F6FB"/>
        </patternFill>
      </fill>
      <alignment horizontal="center" vertical="center" textRotation="0" wrapText="0" indent="0" justifyLastLine="0" shrinkToFit="0" readingOrder="0"/>
      <border diagonalUp="0" diagonalDown="0">
        <left style="medium">
          <color indexed="64"/>
        </left>
        <right/>
        <top style="hair">
          <color indexed="64"/>
        </top>
        <bottom/>
        <vertical/>
        <horizontal/>
      </border>
    </dxf>
    <dxf>
      <font>
        <b val="0"/>
        <i val="0"/>
        <strike val="0"/>
        <condense val="0"/>
        <extend val="0"/>
        <outline val="0"/>
        <shadow val="0"/>
        <u val="none"/>
        <vertAlign val="baseline"/>
        <sz val="11"/>
        <color theme="1"/>
        <name val="Cascadia Code Light"/>
        <family val="3"/>
        <scheme val="none"/>
      </font>
      <numFmt numFmtId="170" formatCode="d/mm/yyyy"/>
      <fill>
        <patternFill patternType="solid">
          <fgColor indexed="64"/>
          <bgColor rgb="FFF3F6FB"/>
        </patternFill>
      </fill>
      <alignment horizontal="center" vertical="center" textRotation="0" wrapText="0" indent="0" justifyLastLine="0" shrinkToFit="0" readingOrder="0"/>
      <border diagonalUp="0" diagonalDown="0">
        <left style="medium">
          <color indexed="64"/>
        </left>
        <right/>
        <top style="hair">
          <color indexed="64"/>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i val="0"/>
        <strike val="0"/>
        <condense val="0"/>
        <extend val="0"/>
        <outline val="0"/>
        <shadow val="0"/>
        <u val="none"/>
        <vertAlign val="baseline"/>
        <sz val="11"/>
        <color theme="0"/>
        <name val="Cascadia Code"/>
        <family val="3"/>
        <scheme val="none"/>
      </font>
      <fill>
        <patternFill patternType="solid">
          <fgColor theme="4"/>
          <bgColor theme="4"/>
        </patternFill>
      </fill>
      <alignment horizontal="center" vertical="center" textRotation="0" wrapText="0" indent="0" justifyLastLine="0" shrinkToFit="0" readingOrder="0"/>
    </dxf>
  </dxfs>
  <tableStyles count="0" defaultTableStyle="TableStyleMedium2" defaultPivotStyle="PivotStyleLight16"/>
  <colors>
    <mruColors>
      <color rgb="FFF3F6FB"/>
      <color rgb="FFECF0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6</xdr:col>
      <xdr:colOff>2105024</xdr:colOff>
      <xdr:row>24</xdr:row>
      <xdr:rowOff>133351</xdr:rowOff>
    </xdr:from>
    <xdr:to>
      <xdr:col>7</xdr:col>
      <xdr:colOff>1095374</xdr:colOff>
      <xdr:row>27</xdr:row>
      <xdr:rowOff>76201</xdr:rowOff>
    </xdr:to>
    <xdr:sp macro="[0]!Limpiar" textlink="">
      <xdr:nvSpPr>
        <xdr:cNvPr id="2" name="Rectángulo 1">
          <a:extLst>
            <a:ext uri="{FF2B5EF4-FFF2-40B4-BE49-F238E27FC236}">
              <a16:creationId xmlns:a16="http://schemas.microsoft.com/office/drawing/2014/main" id="{356A39E5-4270-6B4D-DF10-78763242CC56}"/>
            </a:ext>
          </a:extLst>
        </xdr:cNvPr>
        <xdr:cNvSpPr/>
      </xdr:nvSpPr>
      <xdr:spPr>
        <a:xfrm>
          <a:off x="9677399" y="5886451"/>
          <a:ext cx="1247775" cy="533400"/>
        </a:xfrm>
        <a:prstGeom prst="rect">
          <a:avLst/>
        </a:prstGeom>
        <a:solidFill>
          <a:schemeClr val="bg1"/>
        </a:solidFill>
        <a:ln w="28575">
          <a:solidFill>
            <a:schemeClr val="accent1"/>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800" b="1">
              <a:solidFill>
                <a:schemeClr val="accent1">
                  <a:lumMod val="50000"/>
                </a:schemeClr>
              </a:solidFill>
              <a:latin typeface="Cascadia Code" panose="020B0609020000020004" pitchFamily="49" charset="0"/>
              <a:ea typeface="Cascadia Code" panose="020B0609020000020004" pitchFamily="49" charset="0"/>
              <a:cs typeface="Cascadia Code" panose="020B0609020000020004" pitchFamily="49" charset="0"/>
            </a:rPr>
            <a:t>LIMPIAR</a:t>
          </a:r>
          <a:endParaRPr lang="es-CO" sz="1100" b="1">
            <a:solidFill>
              <a:schemeClr val="accent1">
                <a:lumMod val="50000"/>
              </a:schemeClr>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2</xdr:col>
      <xdr:colOff>1943101</xdr:colOff>
      <xdr:row>24</xdr:row>
      <xdr:rowOff>152401</xdr:rowOff>
    </xdr:from>
    <xdr:to>
      <xdr:col>3</xdr:col>
      <xdr:colOff>666750</xdr:colOff>
      <xdr:row>27</xdr:row>
      <xdr:rowOff>95251</xdr:rowOff>
    </xdr:to>
    <xdr:sp macro="[0]!Guardar" textlink="">
      <xdr:nvSpPr>
        <xdr:cNvPr id="3" name="Rectángulo 2">
          <a:extLst>
            <a:ext uri="{FF2B5EF4-FFF2-40B4-BE49-F238E27FC236}">
              <a16:creationId xmlns:a16="http://schemas.microsoft.com/office/drawing/2014/main" id="{414B05E6-10FD-50D3-B283-21F15293F3AD}"/>
            </a:ext>
          </a:extLst>
        </xdr:cNvPr>
        <xdr:cNvSpPr/>
      </xdr:nvSpPr>
      <xdr:spPr>
        <a:xfrm>
          <a:off x="3400426" y="5905501"/>
          <a:ext cx="1266824" cy="533400"/>
        </a:xfrm>
        <a:prstGeom prst="rect">
          <a:avLst/>
        </a:prstGeom>
        <a:ln w="28575">
          <a:solidFill>
            <a:schemeClr val="accent1"/>
          </a:solidFill>
          <a:prstDash val="lgDashDotDot"/>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s-CO" sz="1800" b="1">
              <a:solidFill>
                <a:schemeClr val="accent1">
                  <a:lumMod val="50000"/>
                </a:schemeClr>
              </a:solidFill>
              <a:latin typeface="Cascadia Code" panose="020B0609020000020004" pitchFamily="49" charset="0"/>
              <a:ea typeface="Cascadia Code" panose="020B0609020000020004" pitchFamily="49" charset="0"/>
              <a:cs typeface="Cascadia Code" panose="020B0609020000020004" pitchFamily="49" charset="0"/>
            </a:rPr>
            <a:t>GUARDAR</a:t>
          </a:r>
        </a:p>
      </xdr:txBody>
    </xdr:sp>
    <xdr:clientData/>
  </xdr:twoCellAnchor>
  <xdr:twoCellAnchor>
    <xdr:from>
      <xdr:col>1</xdr:col>
      <xdr:colOff>85725</xdr:colOff>
      <xdr:row>5</xdr:row>
      <xdr:rowOff>190500</xdr:rowOff>
    </xdr:from>
    <xdr:to>
      <xdr:col>1</xdr:col>
      <xdr:colOff>625725</xdr:colOff>
      <xdr:row>6</xdr:row>
      <xdr:rowOff>530475</xdr:rowOff>
    </xdr:to>
    <xdr:sp macro="[0]!Msg_Fecha1" textlink="">
      <xdr:nvSpPr>
        <xdr:cNvPr id="4" name="Elipse 3">
          <a:extLst>
            <a:ext uri="{FF2B5EF4-FFF2-40B4-BE49-F238E27FC236}">
              <a16:creationId xmlns:a16="http://schemas.microsoft.com/office/drawing/2014/main" id="{3C168D66-8E9C-F3C6-9FF6-B1B11A43F8DF}"/>
            </a:ext>
          </a:extLst>
        </xdr:cNvPr>
        <xdr:cNvSpPr/>
      </xdr:nvSpPr>
      <xdr:spPr>
        <a:xfrm>
          <a:off x="847725" y="1362075"/>
          <a:ext cx="540000" cy="540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800" b="1">
              <a:latin typeface="Cascadia Code" panose="020B0609020000020004" pitchFamily="49" charset="0"/>
              <a:ea typeface="Cascadia Code" panose="020B0609020000020004" pitchFamily="49" charset="0"/>
              <a:cs typeface="Cascadia Code" panose="020B0609020000020004" pitchFamily="49" charset="0"/>
            </a:rPr>
            <a:t>?</a:t>
          </a:r>
        </a:p>
      </xdr:txBody>
    </xdr:sp>
    <xdr:clientData/>
  </xdr:twoCellAnchor>
  <xdr:twoCellAnchor>
    <xdr:from>
      <xdr:col>1</xdr:col>
      <xdr:colOff>57150</xdr:colOff>
      <xdr:row>19</xdr:row>
      <xdr:rowOff>66675</xdr:rowOff>
    </xdr:from>
    <xdr:to>
      <xdr:col>1</xdr:col>
      <xdr:colOff>597150</xdr:colOff>
      <xdr:row>21</xdr:row>
      <xdr:rowOff>120900</xdr:rowOff>
    </xdr:to>
    <xdr:sp macro="[0]!Msg_Objetivo" textlink="">
      <xdr:nvSpPr>
        <xdr:cNvPr id="7" name="Elipse 6">
          <a:extLst>
            <a:ext uri="{FF2B5EF4-FFF2-40B4-BE49-F238E27FC236}">
              <a16:creationId xmlns:a16="http://schemas.microsoft.com/office/drawing/2014/main" id="{6D8ED1F9-ACC5-4745-A73A-ABDA33235EB9}"/>
            </a:ext>
          </a:extLst>
        </xdr:cNvPr>
        <xdr:cNvSpPr/>
      </xdr:nvSpPr>
      <xdr:spPr>
        <a:xfrm>
          <a:off x="819150" y="5114925"/>
          <a:ext cx="540000" cy="540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800" b="1">
              <a:latin typeface="Cascadia Code" panose="020B0609020000020004" pitchFamily="49" charset="0"/>
              <a:ea typeface="Cascadia Code" panose="020B0609020000020004" pitchFamily="49" charset="0"/>
              <a:cs typeface="Cascadia Code" panose="020B0609020000020004" pitchFamily="49" charset="0"/>
            </a:rPr>
            <a:t>?</a:t>
          </a:r>
        </a:p>
      </xdr:txBody>
    </xdr:sp>
    <xdr:clientData/>
  </xdr:twoCellAnchor>
  <xdr:twoCellAnchor>
    <xdr:from>
      <xdr:col>5</xdr:col>
      <xdr:colOff>133350</xdr:colOff>
      <xdr:row>5</xdr:row>
      <xdr:rowOff>171450</xdr:rowOff>
    </xdr:from>
    <xdr:to>
      <xdr:col>5</xdr:col>
      <xdr:colOff>673350</xdr:colOff>
      <xdr:row>6</xdr:row>
      <xdr:rowOff>511425</xdr:rowOff>
    </xdr:to>
    <xdr:sp macro="[0]!Msg_Persona" textlink="">
      <xdr:nvSpPr>
        <xdr:cNvPr id="8" name="Elipse 7">
          <a:extLst>
            <a:ext uri="{FF2B5EF4-FFF2-40B4-BE49-F238E27FC236}">
              <a16:creationId xmlns:a16="http://schemas.microsoft.com/office/drawing/2014/main" id="{2DA303B6-F814-417F-8CB1-D2035F4647F9}"/>
            </a:ext>
          </a:extLst>
        </xdr:cNvPr>
        <xdr:cNvSpPr/>
      </xdr:nvSpPr>
      <xdr:spPr>
        <a:xfrm>
          <a:off x="6943725" y="1343025"/>
          <a:ext cx="540000" cy="540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800" b="1">
              <a:latin typeface="Cascadia Code" panose="020B0609020000020004" pitchFamily="49" charset="0"/>
              <a:ea typeface="Cascadia Code" panose="020B0609020000020004" pitchFamily="49" charset="0"/>
              <a:cs typeface="Cascadia Code" panose="020B0609020000020004" pitchFamily="49" charset="0"/>
            </a:rPr>
            <a:t>?</a:t>
          </a:r>
        </a:p>
      </xdr:txBody>
    </xdr:sp>
    <xdr:clientData/>
  </xdr:twoCellAnchor>
  <xdr:twoCellAnchor>
    <xdr:from>
      <xdr:col>5</xdr:col>
      <xdr:colOff>95250</xdr:colOff>
      <xdr:row>9</xdr:row>
      <xdr:rowOff>171450</xdr:rowOff>
    </xdr:from>
    <xdr:to>
      <xdr:col>5</xdr:col>
      <xdr:colOff>635250</xdr:colOff>
      <xdr:row>10</xdr:row>
      <xdr:rowOff>511425</xdr:rowOff>
    </xdr:to>
    <xdr:sp macro="[0]!Msg_Fecha2" textlink="">
      <xdr:nvSpPr>
        <xdr:cNvPr id="9" name="Elipse 8">
          <a:extLst>
            <a:ext uri="{FF2B5EF4-FFF2-40B4-BE49-F238E27FC236}">
              <a16:creationId xmlns:a16="http://schemas.microsoft.com/office/drawing/2014/main" id="{EB6738C7-C0AD-48E4-BD83-54EC10936D22}"/>
            </a:ext>
          </a:extLst>
        </xdr:cNvPr>
        <xdr:cNvSpPr/>
      </xdr:nvSpPr>
      <xdr:spPr>
        <a:xfrm>
          <a:off x="6905625" y="2466975"/>
          <a:ext cx="540000" cy="540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800" b="1">
              <a:latin typeface="Cascadia Code" panose="020B0609020000020004" pitchFamily="49" charset="0"/>
              <a:ea typeface="Cascadia Code" panose="020B0609020000020004" pitchFamily="49" charset="0"/>
              <a:cs typeface="Cascadia Code" panose="020B0609020000020004" pitchFamily="49" charset="0"/>
            </a:rPr>
            <a:t>?</a:t>
          </a:r>
        </a:p>
      </xdr:txBody>
    </xdr:sp>
    <xdr:clientData/>
  </xdr:twoCellAnchor>
  <xdr:twoCellAnchor>
    <xdr:from>
      <xdr:col>5</xdr:col>
      <xdr:colOff>114300</xdr:colOff>
      <xdr:row>11</xdr:row>
      <xdr:rowOff>38100</xdr:rowOff>
    </xdr:from>
    <xdr:to>
      <xdr:col>5</xdr:col>
      <xdr:colOff>654300</xdr:colOff>
      <xdr:row>12</xdr:row>
      <xdr:rowOff>35175</xdr:rowOff>
    </xdr:to>
    <xdr:sp macro="[0]!Msg_Fecha3" textlink="">
      <xdr:nvSpPr>
        <xdr:cNvPr id="10" name="Elipse 9">
          <a:extLst>
            <a:ext uri="{FF2B5EF4-FFF2-40B4-BE49-F238E27FC236}">
              <a16:creationId xmlns:a16="http://schemas.microsoft.com/office/drawing/2014/main" id="{EA32229A-C954-45AD-A1C5-CD34934EF8DD}"/>
            </a:ext>
          </a:extLst>
        </xdr:cNvPr>
        <xdr:cNvSpPr/>
      </xdr:nvSpPr>
      <xdr:spPr>
        <a:xfrm>
          <a:off x="6924675" y="3095625"/>
          <a:ext cx="540000" cy="540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800" b="1">
              <a:latin typeface="Cascadia Code" panose="020B0609020000020004" pitchFamily="49" charset="0"/>
              <a:ea typeface="Cascadia Code" panose="020B0609020000020004" pitchFamily="49" charset="0"/>
              <a:cs typeface="Cascadia Code" panose="020B0609020000020004" pitchFamily="49" charset="0"/>
            </a:rPr>
            <a:t>?</a:t>
          </a:r>
        </a:p>
      </xdr:txBody>
    </xdr:sp>
    <xdr:clientData/>
  </xdr:twoCellAnchor>
  <xdr:twoCellAnchor>
    <xdr:from>
      <xdr:col>5</xdr:col>
      <xdr:colOff>123825</xdr:colOff>
      <xdr:row>13</xdr:row>
      <xdr:rowOff>114300</xdr:rowOff>
    </xdr:from>
    <xdr:to>
      <xdr:col>5</xdr:col>
      <xdr:colOff>663825</xdr:colOff>
      <xdr:row>15</xdr:row>
      <xdr:rowOff>178050</xdr:rowOff>
    </xdr:to>
    <xdr:sp macro="[0]!Msg_Entregable" textlink="">
      <xdr:nvSpPr>
        <xdr:cNvPr id="11" name="Elipse 10">
          <a:extLst>
            <a:ext uri="{FF2B5EF4-FFF2-40B4-BE49-F238E27FC236}">
              <a16:creationId xmlns:a16="http://schemas.microsoft.com/office/drawing/2014/main" id="{B140F185-0105-4D5A-965E-0436F6DD6232}"/>
            </a:ext>
          </a:extLst>
        </xdr:cNvPr>
        <xdr:cNvSpPr/>
      </xdr:nvSpPr>
      <xdr:spPr>
        <a:xfrm>
          <a:off x="6934200" y="3924300"/>
          <a:ext cx="540000" cy="540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800" b="1">
              <a:latin typeface="Cascadia Code" panose="020B0609020000020004" pitchFamily="49" charset="0"/>
              <a:ea typeface="Cascadia Code" panose="020B0609020000020004" pitchFamily="49" charset="0"/>
              <a:cs typeface="Cascadia Code" panose="020B0609020000020004" pitchFamily="49" charset="0"/>
            </a:rPr>
            <a: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rgio Alejandro Martinez Vanegas" refreshedDate="45175.696586921295" createdVersion="8" refreshedVersion="8" minRefreshableVersion="3" recordCount="43" xr:uid="{5AEC4239-0445-405E-BAC2-CF81C7E86947}">
  <cacheSource type="worksheet">
    <worksheetSource name="Tabla_Cuenta"/>
  </cacheSource>
  <cacheFields count="2">
    <cacheField name="Cuenta" numFmtId="0">
      <sharedItems/>
    </cacheField>
    <cacheField name="Analista " numFmtId="0">
      <sharedItems count="10">
        <s v="Heidy Zamora"/>
        <s v="Laura Vanegas"/>
        <s v="Esteban_Castañeda"/>
        <s v="Sebastian Castellar"/>
        <s v="Nathaly Bolaños"/>
        <s v="Sergio Martinez"/>
        <s v="Juan Esteban Miranda"/>
        <s v="Edison_Roa"/>
        <s v="Edison Roa" u="1"/>
        <s v="Esteban Castañed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s v="Aje"/>
    <x v="0"/>
  </r>
  <r>
    <s v="Ajinomoto"/>
    <x v="1"/>
  </r>
  <r>
    <s v="Alimentos Polar"/>
    <x v="0"/>
  </r>
  <r>
    <s v="Argos"/>
    <x v="0"/>
  </r>
  <r>
    <s v="Arturo Calle"/>
    <x v="2"/>
  </r>
  <r>
    <s v="Banco Caja Social"/>
    <x v="2"/>
  </r>
  <r>
    <s v="Burger King"/>
    <x v="3"/>
  </r>
  <r>
    <s v="Camacol"/>
    <x v="4"/>
  </r>
  <r>
    <s v="Cerrejón"/>
    <x v="4"/>
  </r>
  <r>
    <s v="Colombina"/>
    <x v="5"/>
  </r>
  <r>
    <s v="Colsanitas"/>
    <x v="2"/>
  </r>
  <r>
    <s v="Constructora Melendez"/>
    <x v="4"/>
  </r>
  <r>
    <s v="Crystal"/>
    <x v="4"/>
  </r>
  <r>
    <s v="Despegar"/>
    <x v="2"/>
  </r>
  <r>
    <s v="DIAGEO"/>
    <x v="6"/>
  </r>
  <r>
    <s v="Electrolit"/>
    <x v="2"/>
  </r>
  <r>
    <s v="Entre Amigos"/>
    <x v="2"/>
  </r>
  <r>
    <s v="FAMILIA Regional"/>
    <x v="0"/>
  </r>
  <r>
    <s v="FAMILIA Colombia"/>
    <x v="1"/>
  </r>
  <r>
    <s v="Fanalca"/>
    <x v="5"/>
  </r>
  <r>
    <s v="GENFAR"/>
    <x v="5"/>
  </r>
  <r>
    <s v="Grupo Bios"/>
    <x v="4"/>
  </r>
  <r>
    <s v="Grupo UMA SAS"/>
    <x v="4"/>
  </r>
  <r>
    <s v="Grupo UMAZF SAS"/>
    <x v="4"/>
  </r>
  <r>
    <s v="HP"/>
    <x v="5"/>
  </r>
  <r>
    <s v="INCHCAPE"/>
    <x v="4"/>
  </r>
  <r>
    <s v="LG"/>
    <x v="3"/>
  </r>
  <r>
    <s v="Los Coches"/>
    <x v="1"/>
  </r>
  <r>
    <s v="Mundo Aventura"/>
    <x v="0"/>
  </r>
  <r>
    <s v="Osamar Hilton Santamarta"/>
    <x v="1"/>
  </r>
  <r>
    <s v="Pisos Alfa"/>
    <x v="5"/>
  </r>
  <r>
    <s v="Redbull"/>
    <x v="3"/>
  </r>
  <r>
    <s v="Royal Prestige"/>
    <x v="3"/>
  </r>
  <r>
    <s v="SANOFI"/>
    <x v="7"/>
  </r>
  <r>
    <s v="Sanofi RX"/>
    <x v="3"/>
  </r>
  <r>
    <s v="Sary"/>
    <x v="4"/>
  </r>
  <r>
    <s v="SC Johnson"/>
    <x v="1"/>
  </r>
  <r>
    <s v="Seguros Mundial"/>
    <x v="1"/>
  </r>
  <r>
    <s v="TCC"/>
    <x v="4"/>
  </r>
  <r>
    <s v="Unicef"/>
    <x v="2"/>
  </r>
  <r>
    <s v="Universidad de los Andes"/>
    <x v="2"/>
  </r>
  <r>
    <s v="UPB"/>
    <x v="4"/>
  </r>
  <r>
    <s v="Viva"/>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8F7AF9-8448-4F7D-9E94-E409CF821F30}"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C1:AD10" firstHeaderRow="1" firstDataRow="1" firstDataCol="1"/>
  <pivotFields count="2">
    <pivotField dataField="1" showAll="0"/>
    <pivotField axis="axisRow" showAll="0">
      <items count="11">
        <item m="1" x="8"/>
        <item m="1" x="9"/>
        <item x="0"/>
        <item x="6"/>
        <item x="1"/>
        <item x="4"/>
        <item x="3"/>
        <item x="5"/>
        <item x="2"/>
        <item x="7"/>
        <item t="default"/>
      </items>
    </pivotField>
  </pivotFields>
  <rowFields count="1">
    <field x="1"/>
  </rowFields>
  <rowItems count="9">
    <i>
      <x v="2"/>
    </i>
    <i>
      <x v="3"/>
    </i>
    <i>
      <x v="4"/>
    </i>
    <i>
      <x v="5"/>
    </i>
    <i>
      <x v="6"/>
    </i>
    <i>
      <x v="7"/>
    </i>
    <i>
      <x v="8"/>
    </i>
    <i>
      <x v="9"/>
    </i>
    <i t="grand">
      <x/>
    </i>
  </rowItems>
  <colItems count="1">
    <i/>
  </colItems>
  <dataFields count="1">
    <dataField name="Cuenta de Cuent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2" xr16:uid="{CE0F65E0-3281-4762-A6BF-14C53E2856C8}" autoFormatId="16" applyNumberFormats="0" applyBorderFormats="0" applyFontFormats="0" applyPatternFormats="0" applyAlignmentFormats="0" applyWidthHeightFormats="0">
  <queryTableRefresh nextId="12">
    <queryTableFields count="11">
      <queryTableField id="1" name="ID TAREA" tableColumnId="1"/>
      <queryTableField id="2" name="FECHA DE SOLICITUD" tableColumnId="2"/>
      <queryTableField id="3" name="PERSONA QUE REALIZA LA SOLICITUD" tableColumnId="3"/>
      <queryTableField id="4" name="DATA ANALYST" tableColumnId="4"/>
      <queryTableField id="5" name="CUENTA" tableColumnId="5"/>
      <queryTableField id="6" name="TIPO DE ENTREGABLE" tableColumnId="6"/>
      <queryTableField id="7" name="FECHA PLANEADA DE ENTREGA" tableColumnId="7"/>
      <queryTableField id="8" name="OBJETIVO ENTREGABLE" tableColumnId="8"/>
      <queryTableField id="9" name="DIAS PARA REALIZAR EL ENTREGABLE" tableColumnId="9"/>
      <queryTableField id="10" name="FECHA DE INICIO REAL" tableColumnId="10"/>
      <queryTableField id="11" name="FECHA DE ENTREGA REAL"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956F53-4446-44C8-9DBA-4593F18FAB38}" name="Tabla15" displayName="Tabla15" ref="A1:K49" totalsRowShown="0" headerRowDxfId="32" tableBorderDxfId="31">
  <autoFilter ref="A1:K49" xr:uid="{8D956F53-4446-44C8-9DBA-4593F18FAB38}"/>
  <tableColumns count="11">
    <tableColumn id="1" xr3:uid="{0AE6E78D-0FA2-4A8D-8A01-8AFD02517A28}" name="ID TAREA" dataDxfId="30">
      <calculatedColumnFormula>+IF(NOT(ISNUMBER(A1)),1,A1+1)</calculatedColumnFormula>
    </tableColumn>
    <tableColumn id="2" xr3:uid="{BBE54ABC-AB79-40AE-A1B4-01E54744F4AE}" name="FECHA DE SOLICITUD" dataDxfId="29"/>
    <tableColumn id="3" xr3:uid="{F72191B0-2F06-47C5-975C-7B12711AAE20}" name="PERSONA QUE REALIZA LA SOLICITUD" dataDxfId="28"/>
    <tableColumn id="4" xr3:uid="{79918761-6356-4094-B07F-0E679AFBD90B}" name="DATA ANALYST" dataDxfId="27"/>
    <tableColumn id="5" xr3:uid="{9F081415-B719-4042-8B8D-807A922C2DA4}" name="CUENTA" dataDxfId="26"/>
    <tableColumn id="6" xr3:uid="{1855927F-9133-4868-999B-A46F1E5F2457}" name="TIPO DE ENTREGABLE" dataDxfId="25"/>
    <tableColumn id="7" xr3:uid="{8940EBD5-36B4-43B2-A53E-E881BDEB0815}" name="FECHA PLANEADA DE ENTREGA" dataDxfId="24"/>
    <tableColumn id="8" xr3:uid="{557B468C-BBEC-4874-873D-1CACC7435C45}" name="OBJETIVO ENTREGABLE" dataDxfId="23"/>
    <tableColumn id="9" xr3:uid="{A079D2BF-9A15-4726-99D6-FE399891D08D}" name="DIAS PARA REALIZAR EL ENTREGABLE" dataDxfId="22">
      <calculatedColumnFormula>IF(G2-B2&lt;=0,1,G2-B2)</calculatedColumnFormula>
    </tableColumn>
    <tableColumn id="10" xr3:uid="{03F3F1DF-F730-4420-8E39-AC5849A90E79}" name="FECHA DE INICIO REAL" dataDxfId="21">
      <calculatedColumnFormula>+IF(NOT(ISTEXT(B1)),IF(B2=K1,K1+1,K1),B2)</calculatedColumnFormula>
    </tableColumn>
    <tableColumn id="11" xr3:uid="{5BF69478-3C82-46AC-8119-1EDAD16F43BE}" name="FECHA DE ENTREGA REAL" dataDxfId="20">
      <calculatedColumnFormula>+IF(ISTEXT(J1),J2,J2+I2)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F8B2CC2-0717-43FE-B224-60C467CDB2A9}" name="Tabla15_2" displayName="Tabla15_2" ref="A1:K48" tableType="queryTable" totalsRowShown="0">
  <autoFilter ref="A1:K48" xr:uid="{0F8B2CC2-0717-43FE-B224-60C467CDB2A9}"/>
  <tableColumns count="11">
    <tableColumn id="1" xr3:uid="{DA423AAD-415B-4DB8-B40B-BAE59AEB5106}" uniqueName="1" name="ID TAREA" queryTableFieldId="1"/>
    <tableColumn id="2" xr3:uid="{05243435-BABA-4771-8A74-256F159FAFA2}" uniqueName="2" name="FECHA DE SOLICITUD" queryTableFieldId="2" dataDxfId="19"/>
    <tableColumn id="3" xr3:uid="{F33EB4B8-C962-4CFF-BDFA-5B9EDABAE136}" uniqueName="3" name="PERSONA QUE REALIZA LA SOLICITUD" queryTableFieldId="3" dataDxfId="18"/>
    <tableColumn id="4" xr3:uid="{9F87BF2D-AA49-4DC9-AECA-0CFEBF7946E2}" uniqueName="4" name="DATA ANALYST" queryTableFieldId="4" dataDxfId="17"/>
    <tableColumn id="5" xr3:uid="{1A88D067-7700-40F5-AF0A-EE18C2044886}" uniqueName="5" name="CUENTA" queryTableFieldId="5" dataDxfId="16"/>
    <tableColumn id="6" xr3:uid="{363591A0-BE74-4193-BDEB-8BEF20921251}" uniqueName="6" name="TIPO DE ENTREGABLE" queryTableFieldId="6" dataDxfId="15"/>
    <tableColumn id="7" xr3:uid="{32E12374-737F-4861-B207-7BB5F4C829D5}" uniqueName="7" name="FECHA PLANEADA DE ENTREGA" queryTableFieldId="7" dataDxfId="14"/>
    <tableColumn id="8" xr3:uid="{CE421E30-54B9-4B46-8826-8788DBD6A1AA}" uniqueName="8" name="OBJETIVO ENTREGABLE" queryTableFieldId="8"/>
    <tableColumn id="9" xr3:uid="{950F29A1-12D4-4F07-9B30-975B45CF89A9}" uniqueName="9" name="DIAS PARA REALIZAR EL ENTREGABLE" queryTableFieldId="9"/>
    <tableColumn id="10" xr3:uid="{03F6C46B-4B8E-4B66-A1E3-E8386C79F988}" uniqueName="10" name="FECHA DE INICIO REAL" queryTableFieldId="10" dataDxfId="13"/>
    <tableColumn id="11" xr3:uid="{7725D2F9-0DA8-48FB-B74E-E798C13883A9}" uniqueName="11" name="FECHA DE ENTREGA REAL" queryTableFieldId="11" dataDxfId="1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541CB5-7F47-4B67-BCF5-881728BF282A}" name="Tabla18" displayName="Tabla18" ref="C2:C3" totalsRowShown="0" headerRowDxfId="11" dataDxfId="10" headerRowCellStyle="Título 2 2">
  <tableColumns count="1">
    <tableColumn id="1" xr3:uid="{6E9F7FD5-91DD-4484-932A-81946383A4AF}" name="Data_Analyst" dataDxfId="9"/>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D1DAD4-02BC-4A78-9253-8F68E9D4E882}" name="Tabla_Analista" displayName="Tabla_Analista" ref="A1:A11" totalsRowShown="0">
  <autoFilter ref="A1:A11" xr:uid="{E5D1DAD4-02BC-4A78-9253-8F68E9D4E882}"/>
  <tableColumns count="1">
    <tableColumn id="1" xr3:uid="{9D5CFC2B-C366-430F-87B4-3EDCAEB3A652}" name="Analist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AB6EB6-773A-4B3D-9396-EE6FB3D1FA0B}" name="Tabla_Cuenta" displayName="Tabla_Cuenta" ref="C1:D44" totalsRowShown="0">
  <tableColumns count="2">
    <tableColumn id="1" xr3:uid="{200C1872-49EF-418C-A9D8-2372CE2B33BD}" name="Cuenta"/>
    <tableColumn id="2" xr3:uid="{48C418D8-CDEC-49B1-9FCB-F2442896514F}" name="Analista "/>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4072BF-38D4-4994-86D6-C688750A486C}" name="Tabla_Entregable" displayName="Tabla_Entregable" ref="F1:G6" totalsRowShown="0">
  <autoFilter ref="F1:G6" xr:uid="{924072BF-38D4-4994-86D6-C688750A486C}"/>
  <tableColumns count="2">
    <tableColumn id="1" xr3:uid="{25E01FAB-1259-4960-94E7-459EE98510CD}" name="Entregable"/>
    <tableColumn id="2" xr3:uid="{34C455BC-1530-44FF-85E4-0C1326976D59}" name="Dia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0374259-F53B-432F-8D7B-6061C00FF6B7}" name="Esteban_Castañeda" displayName="Esteban_Castañeda" ref="Q1:Q8" totalsRowShown="0">
  <autoFilter ref="Q1:Q8" xr:uid="{70374259-F53B-432F-8D7B-6061C00FF6B7}"/>
  <tableColumns count="1">
    <tableColumn id="1" xr3:uid="{B1148EC8-2BD8-418E-84A0-FC324D479C72}" name="Esteban_Castañed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61A36D1-225F-47C3-ABE7-C56973037023}" name="Juan_Esteban_Miranda" displayName="Juan_Esteban_Miranda" ref="O1:O2" totalsRowShown="0">
  <autoFilter ref="O1:O2" xr:uid="{761A36D1-225F-47C3-ABE7-C56973037023}"/>
  <tableColumns count="1">
    <tableColumn id="1" xr3:uid="{C4F5B4CD-A899-4AB3-A2E6-A4DCABC15242}" name="Juan_Esteban_Miranda"/>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E7EF7D8-7736-4FE0-BCFB-A68A8CAFD6DD}" name="Edison_Roa" displayName="Edison_Roa" ref="M1:M2" totalsRowShown="0">
  <autoFilter ref="M1:M2" xr:uid="{FE7EF7D8-7736-4FE0-BCFB-A68A8CAFD6DD}"/>
  <tableColumns count="1">
    <tableColumn id="1" xr3:uid="{A1F6AD94-A068-4AEC-BD17-1A59CFF3F22F}" name="Edison_Roa"/>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46A5FA-4AA4-47C1-BD69-76A0F3466277}" name="Heidy_Zamora" displayName="Heidy_Zamora" ref="S1:S7" totalsRowShown="0">
  <autoFilter ref="S1:S7" xr:uid="{4946A5FA-4AA4-47C1-BD69-76A0F3466277}"/>
  <tableColumns count="1">
    <tableColumn id="1" xr3:uid="{9E84CF9C-4CEC-481E-BD53-726376DA1E22}" name="Heidy_Zamora"/>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4878CFC-D783-40A8-A156-0335DD526CD4}" name="Laura_Vanegas" displayName="Laura_Vanegas" ref="U1:U7" totalsRowShown="0">
  <autoFilter ref="U1:U7" xr:uid="{94878CFC-D783-40A8-A156-0335DD526CD4}"/>
  <tableColumns count="1">
    <tableColumn id="1" xr3:uid="{7A017E36-14DD-4DC4-BF9F-2F46569698BC}" name="Laura_Vanega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DE84FED-10FE-4440-9898-D21B564FA54A}" name="Nathaly_Bolaños" displayName="Nathaly_Bolaños" ref="W1:W13" totalsRowShown="0">
  <autoFilter ref="W1:W13" xr:uid="{0DE84FED-10FE-4440-9898-D21B564FA54A}"/>
  <tableColumns count="1">
    <tableColumn id="1" xr3:uid="{21EBEB49-C72A-449A-B65A-CE3D6ABAFC7C}" name="Nathaly_Bolaño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4D01716-F924-4DD0-BBB6-305D951970D6}" name="Sebastian_Castellar" displayName="Sebastian_Castellar" ref="Y1:Y6" totalsRowShown="0">
  <autoFilter ref="Y1:Y6" xr:uid="{A4D01716-F924-4DD0-BBB6-305D951970D6}"/>
  <tableColumns count="1">
    <tableColumn id="1" xr3:uid="{63D61B9C-537D-4CFF-BD01-AF56D91A1429}" name="Sebastian_Castellar"/>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CF00F53-7206-44EB-9CA4-70F19D4449A2}" name="Sergio_Martinez" displayName="Sergio_Martinez" ref="AA1:AA6" totalsRowShown="0">
  <autoFilter ref="AA1:AA6" xr:uid="{6CF00F53-7206-44EB-9CA4-70F19D4449A2}"/>
  <tableColumns count="1">
    <tableColumn id="1" xr3:uid="{6FC9F072-6A84-4BA7-BB7A-569F60A43F3F}" name="Sergio_Martinez"/>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530A-704C-4CA6-B2D1-46F8103EF3CF}">
  <sheetPr codeName="Hoja10">
    <pageSetUpPr autoPageBreaks="0"/>
  </sheetPr>
  <dimension ref="A1:N29"/>
  <sheetViews>
    <sheetView showGridLines="0" tabSelected="1" topLeftCell="A2" zoomScale="90" zoomScaleNormal="90" workbookViewId="0">
      <selection activeCell="D7" sqref="D7"/>
    </sheetView>
  </sheetViews>
  <sheetFormatPr baseColWidth="10" defaultColWidth="11.44140625" defaultRowHeight="14.4" x14ac:dyDescent="0.3"/>
  <cols>
    <col min="1" max="1" width="11.44140625" style="6"/>
    <col min="2" max="2" width="10.44140625" style="6" customWidth="1"/>
    <col min="3" max="3" width="38.109375" style="6" bestFit="1" customWidth="1"/>
    <col min="4" max="4" width="30.6640625" style="6" customWidth="1"/>
    <col min="5" max="6" width="11.44140625" style="6"/>
    <col min="7" max="7" width="33.88671875" style="6" customWidth="1"/>
    <col min="8" max="8" width="30.6640625" style="6" customWidth="1"/>
    <col min="9" max="9" width="10.44140625" style="6" customWidth="1"/>
    <col min="10" max="16384" width="11.44140625" style="6"/>
  </cols>
  <sheetData>
    <row r="1" spans="1:14" ht="15" thickBot="1" x14ac:dyDescent="0.35">
      <c r="A1" s="94">
        <f ca="1">+TODAY()</f>
        <v>45798</v>
      </c>
    </row>
    <row r="2" spans="1:14" ht="31.5" customHeight="1" thickTop="1" thickBot="1" x14ac:dyDescent="0.35">
      <c r="A2" s="9">
        <v>45169</v>
      </c>
      <c r="B2" s="10"/>
      <c r="C2" s="11"/>
      <c r="D2" s="11"/>
      <c r="E2" s="11"/>
      <c r="F2" s="11"/>
      <c r="G2" s="11"/>
      <c r="H2" s="11"/>
      <c r="I2" s="12"/>
    </row>
    <row r="3" spans="1:14" ht="15" customHeight="1" x14ac:dyDescent="0.3">
      <c r="A3" s="93">
        <f>_xlfn.MAXIFS(Base_Nueva!$G$2:$G$49,Base_Nueva!$D$2:$D$49, Formulario!D11)</f>
        <v>0</v>
      </c>
      <c r="B3" s="13"/>
      <c r="C3" s="126" t="s">
        <v>121</v>
      </c>
      <c r="D3" s="127"/>
      <c r="E3" s="127"/>
      <c r="F3" s="127"/>
      <c r="G3" s="127"/>
      <c r="H3" s="128"/>
      <c r="I3" s="14"/>
    </row>
    <row r="4" spans="1:14" ht="15" customHeight="1" thickBot="1" x14ac:dyDescent="0.35">
      <c r="B4" s="13"/>
      <c r="C4" s="129"/>
      <c r="D4" s="130"/>
      <c r="E4" s="130"/>
      <c r="F4" s="130"/>
      <c r="G4" s="130"/>
      <c r="H4" s="131"/>
      <c r="I4" s="14"/>
    </row>
    <row r="5" spans="1:14" x14ac:dyDescent="0.3">
      <c r="B5" s="13"/>
      <c r="C5" s="15"/>
      <c r="D5" s="15"/>
      <c r="E5" s="15"/>
      <c r="F5" s="15"/>
      <c r="G5" s="15"/>
      <c r="H5" s="15"/>
      <c r="I5" s="16"/>
    </row>
    <row r="6" spans="1:14" ht="15" thickBot="1" x14ac:dyDescent="0.35">
      <c r="B6" s="13"/>
      <c r="C6" s="15"/>
      <c r="D6" s="15"/>
      <c r="E6" s="15"/>
      <c r="F6" s="15"/>
      <c r="G6" s="15"/>
      <c r="H6" s="15"/>
      <c r="I6" s="16"/>
    </row>
    <row r="7" spans="1:14" ht="40.200000000000003" thickBot="1" x14ac:dyDescent="0.35">
      <c r="B7" s="13"/>
      <c r="C7" s="17" t="s">
        <v>104</v>
      </c>
      <c r="D7" s="8"/>
      <c r="E7" s="15"/>
      <c r="F7" s="15"/>
      <c r="G7" s="18" t="s">
        <v>3</v>
      </c>
      <c r="H7" s="8"/>
      <c r="I7" s="16"/>
    </row>
    <row r="8" spans="1:14" x14ac:dyDescent="0.3">
      <c r="B8" s="13"/>
      <c r="C8" s="15"/>
      <c r="D8" s="15"/>
      <c r="E8" s="15"/>
      <c r="F8" s="15"/>
      <c r="G8" s="15"/>
      <c r="H8" s="15"/>
      <c r="I8" s="16"/>
      <c r="N8" s="19"/>
    </row>
    <row r="9" spans="1:14" x14ac:dyDescent="0.3">
      <c r="B9" s="13"/>
      <c r="C9" s="15"/>
      <c r="D9" s="15"/>
      <c r="E9" s="15"/>
      <c r="F9" s="15"/>
      <c r="G9" s="15"/>
      <c r="H9" s="15"/>
      <c r="I9" s="16"/>
    </row>
    <row r="10" spans="1:14" ht="15" thickBot="1" x14ac:dyDescent="0.35">
      <c r="B10" s="13"/>
      <c r="C10" s="15"/>
      <c r="D10" s="15"/>
      <c r="E10" s="15"/>
      <c r="F10" s="15"/>
      <c r="G10" s="15"/>
      <c r="H10" s="15"/>
      <c r="I10" s="16"/>
    </row>
    <row r="11" spans="1:14" ht="44.25" customHeight="1" thickBot="1" x14ac:dyDescent="0.35">
      <c r="B11" s="13"/>
      <c r="C11" s="20" t="s">
        <v>2</v>
      </c>
      <c r="D11" s="7"/>
      <c r="E11" s="15"/>
      <c r="F11" s="15"/>
      <c r="G11" s="18" t="s">
        <v>122</v>
      </c>
      <c r="H11" s="8"/>
      <c r="I11" s="16"/>
    </row>
    <row r="12" spans="1:14" ht="40.200000000000003" thickBot="1" x14ac:dyDescent="0.35">
      <c r="B12" s="13"/>
      <c r="C12" s="15"/>
      <c r="D12" s="15"/>
      <c r="E12" s="15"/>
      <c r="F12" s="15"/>
      <c r="G12" s="18" t="s">
        <v>138</v>
      </c>
      <c r="H12" s="109">
        <f>_xlfn.MAXIFS(Base_Nueva!$G$2:$G$49,Base_Nueva!$D$2:$D$49, Formulario!D11) + 1</f>
        <v>1</v>
      </c>
      <c r="I12" s="16"/>
    </row>
    <row r="13" spans="1:14" ht="16.2" x14ac:dyDescent="0.35">
      <c r="B13" s="13"/>
      <c r="C13" s="15"/>
      <c r="D13" s="15"/>
      <c r="E13" s="15"/>
      <c r="F13" s="15"/>
      <c r="G13" s="15"/>
      <c r="H13" s="21"/>
      <c r="I13" s="16"/>
    </row>
    <row r="14" spans="1:14" ht="15" thickBot="1" x14ac:dyDescent="0.35">
      <c r="B14" s="13"/>
      <c r="C14" s="15"/>
      <c r="D14" s="15"/>
      <c r="E14" s="15"/>
      <c r="F14" s="15"/>
      <c r="G14" s="15"/>
      <c r="H14" s="15"/>
      <c r="I14" s="16"/>
    </row>
    <row r="15" spans="1:14" ht="20.399999999999999" thickBot="1" x14ac:dyDescent="0.35">
      <c r="B15" s="13"/>
      <c r="C15" s="20" t="s">
        <v>1</v>
      </c>
      <c r="D15" s="7"/>
      <c r="E15" s="15"/>
      <c r="F15" s="15"/>
      <c r="G15" s="20" t="s">
        <v>5</v>
      </c>
      <c r="H15" s="7"/>
      <c r="I15" s="16"/>
    </row>
    <row r="16" spans="1:14" x14ac:dyDescent="0.3">
      <c r="B16" s="13"/>
      <c r="C16" s="15"/>
      <c r="D16" s="15"/>
      <c r="E16" s="15"/>
      <c r="F16" s="15"/>
      <c r="G16" s="15"/>
      <c r="H16" s="15"/>
      <c r="I16" s="16"/>
    </row>
    <row r="17" spans="2:10" x14ac:dyDescent="0.3">
      <c r="B17" s="13"/>
      <c r="C17" s="15"/>
      <c r="D17" s="15"/>
      <c r="E17" s="15"/>
      <c r="F17" s="15"/>
      <c r="G17" s="15"/>
      <c r="H17" s="15"/>
      <c r="I17" s="16"/>
    </row>
    <row r="18" spans="2:10" x14ac:dyDescent="0.3">
      <c r="B18" s="13"/>
      <c r="C18" s="15"/>
      <c r="D18" s="15"/>
      <c r="E18" s="15"/>
      <c r="F18" s="15"/>
      <c r="G18" s="15"/>
      <c r="H18" s="15"/>
      <c r="I18" s="16"/>
    </row>
    <row r="19" spans="2:10" x14ac:dyDescent="0.3">
      <c r="B19" s="13"/>
      <c r="C19" s="22"/>
      <c r="D19" s="132"/>
      <c r="E19" s="132"/>
      <c r="F19" s="132"/>
      <c r="G19" s="132"/>
      <c r="H19" s="133"/>
      <c r="I19" s="16"/>
    </row>
    <row r="20" spans="2:10" ht="16.5" customHeight="1" thickBot="1" x14ac:dyDescent="0.35">
      <c r="B20" s="13"/>
      <c r="C20" s="22"/>
      <c r="D20" s="134"/>
      <c r="E20" s="134"/>
      <c r="F20" s="134"/>
      <c r="G20" s="134"/>
      <c r="H20" s="135"/>
      <c r="I20" s="15"/>
      <c r="J20" s="23"/>
    </row>
    <row r="21" spans="2:10" ht="20.399999999999999" thickBot="1" x14ac:dyDescent="0.35">
      <c r="B21" s="13"/>
      <c r="C21" s="20" t="s">
        <v>6</v>
      </c>
      <c r="D21" s="136"/>
      <c r="E21" s="134"/>
      <c r="F21" s="134"/>
      <c r="G21" s="134"/>
      <c r="H21" s="135"/>
      <c r="I21" s="16"/>
    </row>
    <row r="22" spans="2:10" x14ac:dyDescent="0.3">
      <c r="B22" s="13"/>
      <c r="C22" s="22"/>
      <c r="D22" s="134"/>
      <c r="E22" s="134"/>
      <c r="F22" s="134"/>
      <c r="G22" s="134"/>
      <c r="H22" s="135"/>
      <c r="I22" s="16"/>
    </row>
    <row r="23" spans="2:10" x14ac:dyDescent="0.3">
      <c r="B23" s="13"/>
      <c r="C23" s="22"/>
      <c r="D23" s="137"/>
      <c r="E23" s="137"/>
      <c r="F23" s="137"/>
      <c r="G23" s="137"/>
      <c r="H23" s="138"/>
      <c r="I23" s="16"/>
    </row>
    <row r="24" spans="2:10" x14ac:dyDescent="0.3">
      <c r="B24" s="13"/>
      <c r="C24" s="15"/>
      <c r="D24" s="15"/>
      <c r="E24" s="15"/>
      <c r="F24" s="15"/>
      <c r="G24" s="15"/>
      <c r="H24" s="15"/>
      <c r="I24" s="16"/>
    </row>
    <row r="25" spans="2:10" ht="16.2" x14ac:dyDescent="0.35">
      <c r="B25" s="13"/>
      <c r="C25" s="15"/>
      <c r="D25" s="24"/>
      <c r="E25" s="15"/>
      <c r="F25" s="15"/>
      <c r="G25" s="15"/>
      <c r="H25" s="15"/>
      <c r="I25" s="16"/>
    </row>
    <row r="26" spans="2:10" x14ac:dyDescent="0.3">
      <c r="B26" s="13"/>
      <c r="C26" s="15"/>
      <c r="D26" s="15"/>
      <c r="E26" s="15"/>
      <c r="F26" s="15"/>
      <c r="G26" s="15"/>
      <c r="H26" s="15"/>
      <c r="I26" s="16"/>
    </row>
    <row r="27" spans="2:10" x14ac:dyDescent="0.3">
      <c r="B27" s="13"/>
      <c r="C27" s="15"/>
      <c r="D27" s="15"/>
      <c r="E27" s="15"/>
      <c r="F27" s="15"/>
      <c r="G27" s="15"/>
      <c r="H27" s="15"/>
      <c r="I27" s="16"/>
    </row>
    <row r="28" spans="2:10" ht="31.5" customHeight="1" thickBot="1" x14ac:dyDescent="0.35">
      <c r="B28" s="25"/>
      <c r="C28" s="26"/>
      <c r="D28" s="26"/>
      <c r="E28" s="26"/>
      <c r="F28" s="26"/>
      <c r="G28" s="26"/>
      <c r="H28" s="26"/>
      <c r="I28" s="27"/>
    </row>
    <row r="29" spans="2:10" ht="15" thickTop="1" x14ac:dyDescent="0.3"/>
  </sheetData>
  <mergeCells count="2">
    <mergeCell ref="C3:H4"/>
    <mergeCell ref="D19:H23"/>
  </mergeCells>
  <dataValidations count="4">
    <dataValidation type="list" allowBlank="1" showInputMessage="1" showErrorMessage="1" sqref="D11" xr:uid="{BA5CABA3-94F0-442B-A0C9-B08324982E94}">
      <formula1>DATA</formula1>
    </dataValidation>
    <dataValidation type="list" showErrorMessage="1" sqref="D15" xr:uid="{91E2F9A7-565F-4D89-A182-66A56BD31E0E}">
      <formula1>INDIRECT(D11)</formula1>
    </dataValidation>
    <dataValidation type="date" operator="equal" allowBlank="1" showInputMessage="1" showErrorMessage="1" errorTitle="FECHA NO DISPONIBLE" error="Debe ingresar la fecha de hoy." sqref="D7" xr:uid="{DEB06A59-DD46-4B59-ADC0-554C745B828C}">
      <formula1>A1</formula1>
    </dataValidation>
    <dataValidation type="date" operator="greaterThanOrEqual" allowBlank="1" showInputMessage="1" showErrorMessage="1" errorTitle="FECHA OCUPADA" error="La fecha que ingresa debe ser mayor o igual a la fecha disponible del analista." sqref="H11" xr:uid="{FEAC21FC-1174-4F32-92CD-2AE058941150}">
      <formula1>H12</formula1>
    </dataValidation>
  </dataValidations>
  <pageMargins left="0.7" right="0.7" top="0.75" bottom="0.75" header="0.3" footer="0.3"/>
  <pageSetup orientation="portrait" r:id="rId1"/>
  <headerFooter>
    <oddFooter>&amp;C_x000D_&amp;1#&amp;"Calibri"&amp;10&amp;K000000 Confidential - Not for Public Consumption or Distribution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0BB171E-DA2C-43F3-BB27-C9FD8A926A98}">
          <x14:formula1>
            <xm:f>'Tablas Auxiliares'!$F$2:$F$6</xm:f>
          </x14:formula1>
          <xm:sqref>H15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B86C-2160-4827-A23F-429F45A89FC5}">
  <sheetPr codeName="Hoja11"/>
  <dimension ref="A1:L49"/>
  <sheetViews>
    <sheetView workbookViewId="0">
      <selection activeCell="H19" sqref="H19"/>
    </sheetView>
  </sheetViews>
  <sheetFormatPr baseColWidth="10" defaultColWidth="11.44140625" defaultRowHeight="14.4" x14ac:dyDescent="0.3"/>
  <cols>
    <col min="1" max="1" width="13.44140625" customWidth="1"/>
    <col min="2" max="2" width="26.33203125" customWidth="1"/>
    <col min="3" max="3" width="44.33203125" style="6" customWidth="1"/>
    <col min="4" max="4" width="23.44140625" style="6" bestFit="1" customWidth="1"/>
    <col min="5" max="5" width="22.109375" style="6" bestFit="1" customWidth="1"/>
    <col min="6" max="6" width="26.33203125" style="6" customWidth="1"/>
    <col min="7" max="7" width="35.33203125" style="6" customWidth="1"/>
    <col min="8" max="8" width="27.5546875" style="6" customWidth="1"/>
    <col min="9" max="9" width="44.33203125" style="6" customWidth="1"/>
    <col min="10" max="10" width="28.88671875" style="6" customWidth="1"/>
    <col min="11" max="11" width="30.109375" style="6" customWidth="1"/>
    <col min="12" max="16384" width="11.44140625" style="6"/>
  </cols>
  <sheetData>
    <row r="1" spans="1:12" ht="24" customHeight="1" x14ac:dyDescent="0.3">
      <c r="A1" s="121" t="s">
        <v>125</v>
      </c>
      <c r="B1" s="121" t="s">
        <v>0</v>
      </c>
      <c r="C1" s="121" t="s">
        <v>3</v>
      </c>
      <c r="D1" s="121" t="s">
        <v>2</v>
      </c>
      <c r="E1" s="121" t="s">
        <v>123</v>
      </c>
      <c r="F1" s="121" t="s">
        <v>5</v>
      </c>
      <c r="G1" s="121" t="s">
        <v>122</v>
      </c>
      <c r="H1" s="121" t="s">
        <v>124</v>
      </c>
      <c r="I1" s="121" t="s">
        <v>140</v>
      </c>
      <c r="J1" s="121" t="s">
        <v>141</v>
      </c>
      <c r="K1" s="122" t="s">
        <v>142</v>
      </c>
    </row>
    <row r="2" spans="1:12" ht="16.2" x14ac:dyDescent="0.3">
      <c r="A2" s="117">
        <f t="shared" ref="A2:A44" si="0">+IF(NOT(ISNUMBER(A1)),1,A1+1)</f>
        <v>1</v>
      </c>
      <c r="B2" s="95" t="s">
        <v>66</v>
      </c>
      <c r="C2" s="96" t="s">
        <v>63</v>
      </c>
      <c r="D2" s="104" t="s">
        <v>112</v>
      </c>
      <c r="E2" s="104" t="s">
        <v>40</v>
      </c>
      <c r="F2" s="104" t="s">
        <v>95</v>
      </c>
      <c r="G2" s="95" t="s">
        <v>66</v>
      </c>
      <c r="H2" s="112">
        <v>123</v>
      </c>
      <c r="I2" s="99">
        <f t="shared" ref="I2:I44" si="1">IF(G2-B2&lt;=0,1,G2-B2)</f>
        <v>1</v>
      </c>
      <c r="J2" s="100" t="str">
        <f t="shared" ref="J2:J45" si="2">+IF(NOT(ISTEXT(B1)),IF(B2=K1,K1+1,K1),B2)</f>
        <v>28/08/2023</v>
      </c>
      <c r="K2" s="120" t="str">
        <f>+IF(ISTEXT(J1),J2,J2+I2)</f>
        <v>28/08/2023</v>
      </c>
      <c r="L2" s="93"/>
    </row>
    <row r="3" spans="1:12" ht="16.2" x14ac:dyDescent="0.3">
      <c r="A3" s="118">
        <f t="shared" si="0"/>
        <v>2</v>
      </c>
      <c r="B3" s="102">
        <v>45166</v>
      </c>
      <c r="C3" s="96" t="s">
        <v>63</v>
      </c>
      <c r="D3" s="101" t="s">
        <v>112</v>
      </c>
      <c r="E3" s="101" t="s">
        <v>60</v>
      </c>
      <c r="F3" s="101" t="s">
        <v>95</v>
      </c>
      <c r="G3" s="102">
        <v>45178</v>
      </c>
      <c r="H3" s="103" t="s">
        <v>65</v>
      </c>
      <c r="I3" s="99">
        <f t="shared" si="1"/>
        <v>12</v>
      </c>
      <c r="J3" s="100">
        <f t="shared" si="2"/>
        <v>45166</v>
      </c>
      <c r="K3" s="120">
        <f t="shared" ref="K3:K44" si="3">+IF(ISTEXT(J2),J3,J3+I3)</f>
        <v>45166</v>
      </c>
    </row>
    <row r="4" spans="1:12" ht="16.2" x14ac:dyDescent="0.3">
      <c r="A4" s="117">
        <f t="shared" si="0"/>
        <v>3</v>
      </c>
      <c r="B4" s="95">
        <v>45166</v>
      </c>
      <c r="C4" s="96" t="s">
        <v>63</v>
      </c>
      <c r="D4" s="104" t="s">
        <v>112</v>
      </c>
      <c r="E4" s="104" t="s">
        <v>59</v>
      </c>
      <c r="F4" s="104" t="s">
        <v>95</v>
      </c>
      <c r="G4" s="95">
        <v>45178</v>
      </c>
      <c r="H4" s="112" t="s">
        <v>67</v>
      </c>
      <c r="I4" s="99">
        <f t="shared" si="1"/>
        <v>12</v>
      </c>
      <c r="J4" s="100">
        <f t="shared" si="2"/>
        <v>45167</v>
      </c>
      <c r="K4" s="120">
        <f t="shared" si="3"/>
        <v>45179</v>
      </c>
    </row>
    <row r="5" spans="1:12" ht="16.2" x14ac:dyDescent="0.3">
      <c r="A5" s="118">
        <f t="shared" si="0"/>
        <v>4</v>
      </c>
      <c r="B5" s="102" t="s">
        <v>66</v>
      </c>
      <c r="C5" s="96" t="s">
        <v>63</v>
      </c>
      <c r="D5" s="101" t="s">
        <v>111</v>
      </c>
      <c r="E5" s="101" t="s">
        <v>59</v>
      </c>
      <c r="F5" s="101" t="s">
        <v>95</v>
      </c>
      <c r="G5" s="102" t="s">
        <v>66</v>
      </c>
      <c r="H5" s="103" t="s">
        <v>69</v>
      </c>
      <c r="I5" s="99">
        <f t="shared" si="1"/>
        <v>1</v>
      </c>
      <c r="J5" s="100">
        <f t="shared" si="2"/>
        <v>45179</v>
      </c>
      <c r="K5" s="120">
        <f t="shared" si="3"/>
        <v>45180</v>
      </c>
    </row>
    <row r="6" spans="1:12" ht="16.2" x14ac:dyDescent="0.3">
      <c r="A6" s="117">
        <f t="shared" si="0"/>
        <v>5</v>
      </c>
      <c r="B6" s="95" t="s">
        <v>66</v>
      </c>
      <c r="C6" s="96" t="s">
        <v>63</v>
      </c>
      <c r="D6" s="104" t="s">
        <v>111</v>
      </c>
      <c r="E6" s="104" t="s">
        <v>60</v>
      </c>
      <c r="F6" s="104" t="s">
        <v>95</v>
      </c>
      <c r="G6" s="95" t="s">
        <v>66</v>
      </c>
      <c r="H6" s="112" t="s">
        <v>68</v>
      </c>
      <c r="I6" s="99">
        <f t="shared" si="1"/>
        <v>1</v>
      </c>
      <c r="J6" s="100" t="str">
        <f t="shared" si="2"/>
        <v>28/08/2023</v>
      </c>
      <c r="K6" s="120">
        <f t="shared" si="3"/>
        <v>45167</v>
      </c>
    </row>
    <row r="7" spans="1:12" ht="16.2" x14ac:dyDescent="0.3">
      <c r="A7" s="117">
        <f t="shared" si="0"/>
        <v>6</v>
      </c>
      <c r="B7" s="95" t="s">
        <v>66</v>
      </c>
      <c r="C7" s="96" t="s">
        <v>63</v>
      </c>
      <c r="D7" s="104" t="s">
        <v>111</v>
      </c>
      <c r="E7" s="104" t="s">
        <v>46</v>
      </c>
      <c r="F7" s="104" t="s">
        <v>95</v>
      </c>
      <c r="G7" s="95" t="s">
        <v>70</v>
      </c>
      <c r="H7" s="112" t="s">
        <v>71</v>
      </c>
      <c r="I7" s="99">
        <f t="shared" si="1"/>
        <v>2</v>
      </c>
      <c r="J7" s="100" t="str">
        <f t="shared" si="2"/>
        <v>28/08/2023</v>
      </c>
      <c r="K7" s="120" t="str">
        <f t="shared" si="3"/>
        <v>28/08/2023</v>
      </c>
    </row>
    <row r="8" spans="1:12" ht="16.2" x14ac:dyDescent="0.3">
      <c r="A8" s="117">
        <f t="shared" si="0"/>
        <v>7</v>
      </c>
      <c r="B8" s="95" t="s">
        <v>66</v>
      </c>
      <c r="C8" s="104" t="s">
        <v>63</v>
      </c>
      <c r="D8" s="104" t="s">
        <v>111</v>
      </c>
      <c r="E8" s="104" t="s">
        <v>46</v>
      </c>
      <c r="F8" s="104" t="s">
        <v>95</v>
      </c>
      <c r="G8" s="95">
        <v>45174</v>
      </c>
      <c r="H8" s="105" t="s">
        <v>72</v>
      </c>
      <c r="I8" s="99">
        <f t="shared" si="1"/>
        <v>8</v>
      </c>
      <c r="J8" s="100" t="str">
        <f t="shared" si="2"/>
        <v>28/08/2023</v>
      </c>
      <c r="K8" s="120" t="str">
        <f t="shared" si="3"/>
        <v>28/08/2023</v>
      </c>
    </row>
    <row r="9" spans="1:12" ht="16.2" x14ac:dyDescent="0.3">
      <c r="A9" s="118">
        <f t="shared" si="0"/>
        <v>8</v>
      </c>
      <c r="B9" s="102">
        <v>45166</v>
      </c>
      <c r="C9" s="96" t="s">
        <v>63</v>
      </c>
      <c r="D9" s="101" t="s">
        <v>111</v>
      </c>
      <c r="E9" s="101" t="s">
        <v>60</v>
      </c>
      <c r="F9" s="101" t="s">
        <v>95</v>
      </c>
      <c r="G9" s="102">
        <v>45178</v>
      </c>
      <c r="H9" s="106"/>
      <c r="I9" s="99">
        <f t="shared" si="1"/>
        <v>12</v>
      </c>
      <c r="J9" s="100">
        <f t="shared" si="2"/>
        <v>45166</v>
      </c>
      <c r="K9" s="120">
        <f t="shared" si="3"/>
        <v>45166</v>
      </c>
    </row>
    <row r="10" spans="1:12" ht="16.2" x14ac:dyDescent="0.3">
      <c r="A10" s="117">
        <f t="shared" si="0"/>
        <v>9</v>
      </c>
      <c r="B10" s="95">
        <v>45166</v>
      </c>
      <c r="C10" s="96" t="s">
        <v>63</v>
      </c>
      <c r="D10" s="104" t="s">
        <v>111</v>
      </c>
      <c r="E10" s="104" t="s">
        <v>40</v>
      </c>
      <c r="F10" s="104" t="s">
        <v>95</v>
      </c>
      <c r="G10" s="95">
        <v>45178</v>
      </c>
      <c r="H10" s="105"/>
      <c r="I10" s="99">
        <f t="shared" si="1"/>
        <v>12</v>
      </c>
      <c r="J10" s="100">
        <f t="shared" si="2"/>
        <v>45167</v>
      </c>
      <c r="K10" s="120">
        <f t="shared" si="3"/>
        <v>45179</v>
      </c>
    </row>
    <row r="11" spans="1:12" ht="16.2" x14ac:dyDescent="0.3">
      <c r="A11" s="117">
        <f t="shared" si="0"/>
        <v>10</v>
      </c>
      <c r="B11" s="97">
        <v>45173</v>
      </c>
      <c r="C11" s="96" t="s">
        <v>63</v>
      </c>
      <c r="D11" s="96" t="s">
        <v>111</v>
      </c>
      <c r="E11" s="96" t="s">
        <v>9</v>
      </c>
      <c r="F11" s="96" t="s">
        <v>74</v>
      </c>
      <c r="G11" s="97">
        <v>45178</v>
      </c>
      <c r="H11" s="111"/>
      <c r="I11" s="99">
        <f t="shared" si="1"/>
        <v>5</v>
      </c>
      <c r="J11" s="100">
        <f t="shared" si="2"/>
        <v>45179</v>
      </c>
      <c r="K11" s="120">
        <f t="shared" si="3"/>
        <v>45184</v>
      </c>
    </row>
    <row r="12" spans="1:12" ht="16.2" x14ac:dyDescent="0.3">
      <c r="A12" s="117">
        <f t="shared" si="0"/>
        <v>11</v>
      </c>
      <c r="B12" s="97">
        <f ca="1">+TODAY()</f>
        <v>45798</v>
      </c>
      <c r="C12" s="96" t="s">
        <v>63</v>
      </c>
      <c r="D12" s="96" t="s">
        <v>111</v>
      </c>
      <c r="E12" s="96" t="s">
        <v>34</v>
      </c>
      <c r="F12" s="96" t="s">
        <v>74</v>
      </c>
      <c r="G12" s="97">
        <v>45178</v>
      </c>
      <c r="H12" s="111"/>
      <c r="I12" s="99">
        <f t="shared" ca="1" si="1"/>
        <v>1</v>
      </c>
      <c r="J12" s="100">
        <f t="shared" ca="1" si="2"/>
        <v>45184</v>
      </c>
      <c r="K12" s="120">
        <f t="shared" ca="1" si="3"/>
        <v>45185</v>
      </c>
    </row>
    <row r="13" spans="1:12" ht="16.2" x14ac:dyDescent="0.3">
      <c r="A13" s="117">
        <f t="shared" si="0"/>
        <v>12</v>
      </c>
      <c r="B13" s="97">
        <v>45175</v>
      </c>
      <c r="C13" s="96" t="s">
        <v>63</v>
      </c>
      <c r="D13" s="96" t="s">
        <v>111</v>
      </c>
      <c r="E13" s="96" t="s">
        <v>35</v>
      </c>
      <c r="F13" s="96" t="s">
        <v>14</v>
      </c>
      <c r="G13" s="97">
        <v>45178</v>
      </c>
      <c r="H13" s="111"/>
      <c r="I13" s="99">
        <f t="shared" si="1"/>
        <v>3</v>
      </c>
      <c r="J13" s="100">
        <f t="shared" ca="1" si="2"/>
        <v>45185</v>
      </c>
      <c r="K13" s="120">
        <f t="shared" ca="1" si="3"/>
        <v>45188</v>
      </c>
    </row>
    <row r="14" spans="1:12" ht="16.2" x14ac:dyDescent="0.3">
      <c r="A14" s="117">
        <f t="shared" si="0"/>
        <v>13</v>
      </c>
      <c r="B14" s="97">
        <v>45175</v>
      </c>
      <c r="C14" s="97" t="s">
        <v>131</v>
      </c>
      <c r="D14" s="96" t="s">
        <v>111</v>
      </c>
      <c r="E14" s="96" t="s">
        <v>9</v>
      </c>
      <c r="F14" s="96" t="s">
        <v>11</v>
      </c>
      <c r="G14" s="97">
        <v>45178</v>
      </c>
      <c r="H14" s="111"/>
      <c r="I14" s="99">
        <f t="shared" si="1"/>
        <v>3</v>
      </c>
      <c r="J14" s="100">
        <f t="shared" ca="1" si="2"/>
        <v>45188</v>
      </c>
      <c r="K14" s="120">
        <f t="shared" ca="1" si="3"/>
        <v>45191</v>
      </c>
    </row>
    <row r="15" spans="1:12" ht="16.2" x14ac:dyDescent="0.3">
      <c r="A15" s="117">
        <f t="shared" si="0"/>
        <v>14</v>
      </c>
      <c r="B15" s="97">
        <v>45175</v>
      </c>
      <c r="C15" s="97" t="s">
        <v>130</v>
      </c>
      <c r="D15" s="96" t="s">
        <v>111</v>
      </c>
      <c r="E15" s="96" t="s">
        <v>9</v>
      </c>
      <c r="F15" s="96" t="s">
        <v>74</v>
      </c>
      <c r="G15" s="97">
        <v>45180</v>
      </c>
      <c r="H15" s="111"/>
      <c r="I15" s="99">
        <f t="shared" si="1"/>
        <v>5</v>
      </c>
      <c r="J15" s="100">
        <f t="shared" ca="1" si="2"/>
        <v>45191</v>
      </c>
      <c r="K15" s="120">
        <f t="shared" ca="1" si="3"/>
        <v>45196</v>
      </c>
    </row>
    <row r="16" spans="1:12" ht="16.2" x14ac:dyDescent="0.3">
      <c r="A16" s="117">
        <f t="shared" si="0"/>
        <v>15</v>
      </c>
      <c r="B16" s="95" t="s">
        <v>66</v>
      </c>
      <c r="C16" s="104" t="s">
        <v>63</v>
      </c>
      <c r="D16" s="104" t="s">
        <v>113</v>
      </c>
      <c r="E16" s="104" t="s">
        <v>46</v>
      </c>
      <c r="F16" s="104" t="s">
        <v>14</v>
      </c>
      <c r="G16" s="95" t="s">
        <v>70</v>
      </c>
      <c r="H16" s="105" t="s">
        <v>77</v>
      </c>
      <c r="I16" s="99">
        <f t="shared" si="1"/>
        <v>2</v>
      </c>
      <c r="J16" s="100">
        <f t="shared" ca="1" si="2"/>
        <v>45196</v>
      </c>
      <c r="K16" s="120">
        <f t="shared" ca="1" si="3"/>
        <v>45198</v>
      </c>
    </row>
    <row r="17" spans="1:11" ht="16.2" x14ac:dyDescent="0.3">
      <c r="A17" s="118">
        <f t="shared" si="0"/>
        <v>16</v>
      </c>
      <c r="B17" s="102" t="s">
        <v>70</v>
      </c>
      <c r="C17" s="101" t="s">
        <v>97</v>
      </c>
      <c r="D17" s="101" t="s">
        <v>113</v>
      </c>
      <c r="E17" s="101" t="s">
        <v>23</v>
      </c>
      <c r="F17" s="101" t="s">
        <v>76</v>
      </c>
      <c r="G17" s="102">
        <v>45174</v>
      </c>
      <c r="H17" s="106" t="s">
        <v>98</v>
      </c>
      <c r="I17" s="99">
        <f t="shared" si="1"/>
        <v>6</v>
      </c>
      <c r="J17" s="100" t="str">
        <f t="shared" si="2"/>
        <v>30/08/2023</v>
      </c>
      <c r="K17" s="120">
        <f t="shared" ca="1" si="3"/>
        <v>45174</v>
      </c>
    </row>
    <row r="18" spans="1:11" ht="16.2" x14ac:dyDescent="0.3">
      <c r="A18" s="117">
        <f t="shared" si="0"/>
        <v>17</v>
      </c>
      <c r="B18" s="97">
        <v>45175</v>
      </c>
      <c r="C18" s="97" t="s">
        <v>136</v>
      </c>
      <c r="D18" s="96" t="s">
        <v>113</v>
      </c>
      <c r="E18" s="96" t="s">
        <v>106</v>
      </c>
      <c r="F18" s="96" t="s">
        <v>74</v>
      </c>
      <c r="G18" s="97">
        <v>45178</v>
      </c>
      <c r="H18" s="111" t="s">
        <v>137</v>
      </c>
      <c r="I18" s="99">
        <f t="shared" si="1"/>
        <v>3</v>
      </c>
      <c r="J18" s="100">
        <f t="shared" si="2"/>
        <v>45175</v>
      </c>
      <c r="K18" s="120">
        <f t="shared" si="3"/>
        <v>45175</v>
      </c>
    </row>
    <row r="19" spans="1:11" ht="16.2" x14ac:dyDescent="0.3">
      <c r="A19" s="118">
        <f t="shared" si="0"/>
        <v>18</v>
      </c>
      <c r="B19" s="102" t="s">
        <v>66</v>
      </c>
      <c r="C19" s="101" t="s">
        <v>78</v>
      </c>
      <c r="D19" s="101" t="s">
        <v>114</v>
      </c>
      <c r="E19" s="101" t="s">
        <v>35</v>
      </c>
      <c r="F19" s="101" t="s">
        <v>75</v>
      </c>
      <c r="G19" s="102">
        <v>45177</v>
      </c>
      <c r="H19" s="106" t="s">
        <v>79</v>
      </c>
      <c r="I19" s="99">
        <f t="shared" si="1"/>
        <v>11</v>
      </c>
      <c r="J19" s="100">
        <f t="shared" si="2"/>
        <v>45175</v>
      </c>
      <c r="K19" s="120">
        <f t="shared" si="3"/>
        <v>45186</v>
      </c>
    </row>
    <row r="20" spans="1:11" ht="16.2" x14ac:dyDescent="0.3">
      <c r="A20" s="117">
        <f t="shared" si="0"/>
        <v>19</v>
      </c>
      <c r="B20" s="95">
        <v>45166</v>
      </c>
      <c r="C20" s="96" t="s">
        <v>63</v>
      </c>
      <c r="D20" s="104" t="s">
        <v>114</v>
      </c>
      <c r="E20" s="104" t="s">
        <v>40</v>
      </c>
      <c r="F20" s="104" t="s">
        <v>96</v>
      </c>
      <c r="G20" s="95">
        <v>45178</v>
      </c>
      <c r="H20" s="105"/>
      <c r="I20" s="99">
        <f t="shared" si="1"/>
        <v>12</v>
      </c>
      <c r="J20" s="100">
        <f t="shared" si="2"/>
        <v>45166</v>
      </c>
      <c r="K20" s="120">
        <f t="shared" si="3"/>
        <v>45178</v>
      </c>
    </row>
    <row r="21" spans="1:11" ht="16.2" x14ac:dyDescent="0.3">
      <c r="A21" s="118">
        <f t="shared" si="0"/>
        <v>20</v>
      </c>
      <c r="B21" s="97">
        <v>45175</v>
      </c>
      <c r="C21" s="97" t="s">
        <v>129</v>
      </c>
      <c r="D21" s="96" t="s">
        <v>114</v>
      </c>
      <c r="E21" s="96" t="s">
        <v>61</v>
      </c>
      <c r="F21" s="96" t="s">
        <v>76</v>
      </c>
      <c r="G21" s="97">
        <v>45194</v>
      </c>
      <c r="H21" s="111"/>
      <c r="I21" s="99">
        <f t="shared" si="1"/>
        <v>19</v>
      </c>
      <c r="J21" s="100">
        <f t="shared" si="2"/>
        <v>45178</v>
      </c>
      <c r="K21" s="120">
        <f t="shared" si="3"/>
        <v>45197</v>
      </c>
    </row>
    <row r="22" spans="1:11" ht="16.2" x14ac:dyDescent="0.3">
      <c r="A22" s="117">
        <f t="shared" si="0"/>
        <v>21</v>
      </c>
      <c r="B22" s="97">
        <v>45175</v>
      </c>
      <c r="C22" s="97" t="s">
        <v>63</v>
      </c>
      <c r="D22" s="96" t="s">
        <v>114</v>
      </c>
      <c r="E22" s="96" t="s">
        <v>61</v>
      </c>
      <c r="F22" s="96" t="s">
        <v>74</v>
      </c>
      <c r="G22" s="97">
        <v>45195</v>
      </c>
      <c r="H22" s="113"/>
      <c r="I22" s="99">
        <f t="shared" si="1"/>
        <v>20</v>
      </c>
      <c r="J22" s="100">
        <f t="shared" si="2"/>
        <v>45197</v>
      </c>
      <c r="K22" s="120">
        <f t="shared" si="3"/>
        <v>45217</v>
      </c>
    </row>
    <row r="23" spans="1:11" ht="16.2" x14ac:dyDescent="0.3">
      <c r="A23" s="117">
        <f t="shared" si="0"/>
        <v>22</v>
      </c>
      <c r="B23" s="95">
        <v>45166</v>
      </c>
      <c r="C23" s="96" t="s">
        <v>63</v>
      </c>
      <c r="D23" s="104" t="s">
        <v>115</v>
      </c>
      <c r="E23" s="104" t="s">
        <v>60</v>
      </c>
      <c r="F23" s="104" t="s">
        <v>95</v>
      </c>
      <c r="G23" s="95">
        <v>45178</v>
      </c>
      <c r="H23" s="105"/>
      <c r="I23" s="99">
        <f t="shared" si="1"/>
        <v>12</v>
      </c>
      <c r="J23" s="100">
        <f t="shared" si="2"/>
        <v>45217</v>
      </c>
      <c r="K23" s="120">
        <f t="shared" si="3"/>
        <v>45229</v>
      </c>
    </row>
    <row r="24" spans="1:11" ht="16.2" x14ac:dyDescent="0.3">
      <c r="A24" s="117">
        <f t="shared" si="0"/>
        <v>23</v>
      </c>
      <c r="B24" s="95">
        <v>45166</v>
      </c>
      <c r="C24" s="96" t="s">
        <v>63</v>
      </c>
      <c r="D24" s="104" t="s">
        <v>115</v>
      </c>
      <c r="E24" s="104" t="s">
        <v>40</v>
      </c>
      <c r="F24" s="104" t="s">
        <v>95</v>
      </c>
      <c r="G24" s="95">
        <v>45178</v>
      </c>
      <c r="H24" s="105" t="s">
        <v>64</v>
      </c>
      <c r="I24" s="99">
        <f t="shared" si="1"/>
        <v>12</v>
      </c>
      <c r="J24" s="100">
        <f t="shared" si="2"/>
        <v>45229</v>
      </c>
      <c r="K24" s="120">
        <f t="shared" si="3"/>
        <v>45241</v>
      </c>
    </row>
    <row r="25" spans="1:11" ht="16.2" x14ac:dyDescent="0.3">
      <c r="A25" s="117">
        <f t="shared" si="0"/>
        <v>24</v>
      </c>
      <c r="B25" s="97">
        <v>45175</v>
      </c>
      <c r="C25" s="97" t="s">
        <v>63</v>
      </c>
      <c r="D25" s="96" t="s">
        <v>115</v>
      </c>
      <c r="E25" s="96" t="s">
        <v>107</v>
      </c>
      <c r="F25" s="96" t="s">
        <v>74</v>
      </c>
      <c r="G25" s="97">
        <v>45177</v>
      </c>
      <c r="H25" s="111"/>
      <c r="I25" s="99">
        <f t="shared" si="1"/>
        <v>2</v>
      </c>
      <c r="J25" s="100">
        <f t="shared" si="2"/>
        <v>45241</v>
      </c>
      <c r="K25" s="120">
        <f t="shared" si="3"/>
        <v>45243</v>
      </c>
    </row>
    <row r="26" spans="1:11" ht="16.2" x14ac:dyDescent="0.3">
      <c r="A26" s="117">
        <f t="shared" si="0"/>
        <v>25</v>
      </c>
      <c r="B26" s="95">
        <v>45156</v>
      </c>
      <c r="C26" s="96" t="s">
        <v>63</v>
      </c>
      <c r="D26" s="104" t="s">
        <v>116</v>
      </c>
      <c r="E26" s="104" t="s">
        <v>13</v>
      </c>
      <c r="F26" s="104" t="s">
        <v>95</v>
      </c>
      <c r="G26" s="95" t="s">
        <v>66</v>
      </c>
      <c r="H26" s="105" t="s">
        <v>12</v>
      </c>
      <c r="I26" s="99">
        <f t="shared" si="1"/>
        <v>10</v>
      </c>
      <c r="J26" s="100">
        <f t="shared" si="2"/>
        <v>45243</v>
      </c>
      <c r="K26" s="120">
        <f t="shared" si="3"/>
        <v>45253</v>
      </c>
    </row>
    <row r="27" spans="1:11" ht="16.2" x14ac:dyDescent="0.3">
      <c r="A27" s="118">
        <f t="shared" si="0"/>
        <v>26</v>
      </c>
      <c r="B27" s="97">
        <v>45175</v>
      </c>
      <c r="C27" s="97" t="s">
        <v>132</v>
      </c>
      <c r="D27" s="96" t="s">
        <v>116</v>
      </c>
      <c r="E27" s="96" t="s">
        <v>54</v>
      </c>
      <c r="F27" s="96" t="s">
        <v>74</v>
      </c>
      <c r="G27" s="97">
        <v>45178</v>
      </c>
      <c r="H27" s="111"/>
      <c r="I27" s="99">
        <f t="shared" si="1"/>
        <v>3</v>
      </c>
      <c r="J27" s="100">
        <f t="shared" si="2"/>
        <v>45253</v>
      </c>
      <c r="K27" s="120">
        <f t="shared" si="3"/>
        <v>45256</v>
      </c>
    </row>
    <row r="28" spans="1:11" ht="16.2" x14ac:dyDescent="0.3">
      <c r="A28" s="117">
        <f t="shared" si="0"/>
        <v>27</v>
      </c>
      <c r="B28" s="97">
        <v>45175</v>
      </c>
      <c r="C28" s="97" t="s">
        <v>63</v>
      </c>
      <c r="D28" s="96" t="s">
        <v>116</v>
      </c>
      <c r="E28" s="96" t="s">
        <v>47</v>
      </c>
      <c r="F28" s="96" t="s">
        <v>11</v>
      </c>
      <c r="G28" s="97">
        <v>45178</v>
      </c>
      <c r="H28" s="113" t="s">
        <v>139</v>
      </c>
      <c r="I28" s="99">
        <f t="shared" si="1"/>
        <v>3</v>
      </c>
      <c r="J28" s="100">
        <f t="shared" si="2"/>
        <v>45256</v>
      </c>
      <c r="K28" s="120">
        <f t="shared" si="3"/>
        <v>45259</v>
      </c>
    </row>
    <row r="29" spans="1:11" ht="16.2" x14ac:dyDescent="0.3">
      <c r="A29" s="118">
        <f t="shared" si="0"/>
        <v>28</v>
      </c>
      <c r="B29" s="97">
        <v>45173</v>
      </c>
      <c r="C29" s="96" t="s">
        <v>63</v>
      </c>
      <c r="D29" s="96" t="s">
        <v>117</v>
      </c>
      <c r="E29" s="96" t="s">
        <v>29</v>
      </c>
      <c r="F29" s="96" t="s">
        <v>74</v>
      </c>
      <c r="G29" s="97">
        <v>45178</v>
      </c>
      <c r="H29" s="111"/>
      <c r="I29" s="99">
        <f t="shared" si="1"/>
        <v>5</v>
      </c>
      <c r="J29" s="100">
        <f t="shared" si="2"/>
        <v>45259</v>
      </c>
      <c r="K29" s="120">
        <f t="shared" si="3"/>
        <v>45264</v>
      </c>
    </row>
    <row r="30" spans="1:11" ht="16.2" x14ac:dyDescent="0.3">
      <c r="A30" s="117">
        <f t="shared" si="0"/>
        <v>29</v>
      </c>
      <c r="B30" s="95">
        <v>45156</v>
      </c>
      <c r="C30" s="96" t="s">
        <v>63</v>
      </c>
      <c r="D30" s="104" t="s">
        <v>118</v>
      </c>
      <c r="E30" s="104" t="s">
        <v>9</v>
      </c>
      <c r="F30" s="104" t="s">
        <v>10</v>
      </c>
      <c r="G30" s="95" t="s">
        <v>66</v>
      </c>
      <c r="H30" s="105" t="s">
        <v>11</v>
      </c>
      <c r="I30" s="99">
        <f t="shared" si="1"/>
        <v>10</v>
      </c>
      <c r="J30" s="100">
        <f t="shared" si="2"/>
        <v>45264</v>
      </c>
      <c r="K30" s="120">
        <f t="shared" si="3"/>
        <v>45274</v>
      </c>
    </row>
    <row r="31" spans="1:11" ht="16.2" x14ac:dyDescent="0.3">
      <c r="A31" s="118">
        <f t="shared" si="0"/>
        <v>30</v>
      </c>
      <c r="B31" s="102">
        <v>45156</v>
      </c>
      <c r="C31" s="96" t="s">
        <v>63</v>
      </c>
      <c r="D31" s="101" t="s">
        <v>118</v>
      </c>
      <c r="E31" s="101" t="s">
        <v>13</v>
      </c>
      <c r="F31" s="101" t="s">
        <v>14</v>
      </c>
      <c r="G31" s="102" t="s">
        <v>66</v>
      </c>
      <c r="H31" s="106" t="s">
        <v>15</v>
      </c>
      <c r="I31" s="99">
        <f t="shared" si="1"/>
        <v>10</v>
      </c>
      <c r="J31" s="100">
        <f t="shared" si="2"/>
        <v>45274</v>
      </c>
      <c r="K31" s="120">
        <f t="shared" si="3"/>
        <v>45284</v>
      </c>
    </row>
    <row r="32" spans="1:11" ht="16.2" x14ac:dyDescent="0.3">
      <c r="A32" s="117">
        <f t="shared" si="0"/>
        <v>31</v>
      </c>
      <c r="B32" s="95">
        <v>45156</v>
      </c>
      <c r="C32" s="104" t="s">
        <v>7</v>
      </c>
      <c r="D32" s="104" t="s">
        <v>118</v>
      </c>
      <c r="E32" s="104" t="s">
        <v>9</v>
      </c>
      <c r="F32" s="104" t="s">
        <v>10</v>
      </c>
      <c r="G32" s="95" t="s">
        <v>66</v>
      </c>
      <c r="H32" s="105" t="s">
        <v>11</v>
      </c>
      <c r="I32" s="99">
        <f t="shared" si="1"/>
        <v>10</v>
      </c>
      <c r="J32" s="100">
        <f t="shared" si="2"/>
        <v>45284</v>
      </c>
      <c r="K32" s="120">
        <f t="shared" si="3"/>
        <v>45294</v>
      </c>
    </row>
    <row r="33" spans="1:11" ht="16.2" x14ac:dyDescent="0.3">
      <c r="A33" s="118">
        <f t="shared" si="0"/>
        <v>32</v>
      </c>
      <c r="B33" s="102">
        <v>45156</v>
      </c>
      <c r="C33" s="101" t="s">
        <v>7</v>
      </c>
      <c r="D33" s="101" t="s">
        <v>118</v>
      </c>
      <c r="E33" s="101" t="s">
        <v>9</v>
      </c>
      <c r="F33" s="101" t="s">
        <v>10</v>
      </c>
      <c r="G33" s="102" t="s">
        <v>66</v>
      </c>
      <c r="H33" s="106" t="s">
        <v>11</v>
      </c>
      <c r="I33" s="99">
        <f t="shared" si="1"/>
        <v>10</v>
      </c>
      <c r="J33" s="100">
        <f t="shared" si="2"/>
        <v>45294</v>
      </c>
      <c r="K33" s="120">
        <f t="shared" si="3"/>
        <v>45304</v>
      </c>
    </row>
    <row r="34" spans="1:11" ht="16.2" x14ac:dyDescent="0.3">
      <c r="A34" s="117">
        <f t="shared" si="0"/>
        <v>33</v>
      </c>
      <c r="B34" s="95">
        <v>45156</v>
      </c>
      <c r="C34" s="104" t="s">
        <v>7</v>
      </c>
      <c r="D34" s="104" t="s">
        <v>118</v>
      </c>
      <c r="E34" s="104" t="s">
        <v>9</v>
      </c>
      <c r="F34" s="104" t="s">
        <v>10</v>
      </c>
      <c r="G34" s="95" t="s">
        <v>66</v>
      </c>
      <c r="H34" s="112" t="s">
        <v>11</v>
      </c>
      <c r="I34" s="99">
        <f t="shared" si="1"/>
        <v>10</v>
      </c>
      <c r="J34" s="100">
        <f t="shared" si="2"/>
        <v>45304</v>
      </c>
      <c r="K34" s="120">
        <f t="shared" si="3"/>
        <v>45314</v>
      </c>
    </row>
    <row r="35" spans="1:11" ht="16.2" x14ac:dyDescent="0.3">
      <c r="A35" s="118">
        <f t="shared" si="0"/>
        <v>34</v>
      </c>
      <c r="B35" s="102">
        <v>45156</v>
      </c>
      <c r="C35" s="101" t="s">
        <v>7</v>
      </c>
      <c r="D35" s="101" t="s">
        <v>118</v>
      </c>
      <c r="E35" s="101" t="s">
        <v>9</v>
      </c>
      <c r="F35" s="101" t="s">
        <v>10</v>
      </c>
      <c r="G35" s="102" t="s">
        <v>66</v>
      </c>
      <c r="H35" s="103" t="s">
        <v>11</v>
      </c>
      <c r="I35" s="99">
        <f t="shared" si="1"/>
        <v>10</v>
      </c>
      <c r="J35" s="100">
        <f t="shared" si="2"/>
        <v>45314</v>
      </c>
      <c r="K35" s="120">
        <f t="shared" si="3"/>
        <v>45324</v>
      </c>
    </row>
    <row r="36" spans="1:11" ht="16.2" x14ac:dyDescent="0.3">
      <c r="A36" s="117">
        <f t="shared" si="0"/>
        <v>35</v>
      </c>
      <c r="B36" s="95">
        <v>45156</v>
      </c>
      <c r="C36" s="104" t="s">
        <v>7</v>
      </c>
      <c r="D36" s="104" t="s">
        <v>118</v>
      </c>
      <c r="E36" s="104" t="s">
        <v>9</v>
      </c>
      <c r="F36" s="104" t="s">
        <v>10</v>
      </c>
      <c r="G36" s="95" t="s">
        <v>66</v>
      </c>
      <c r="H36" s="112" t="s">
        <v>11</v>
      </c>
      <c r="I36" s="99">
        <f t="shared" si="1"/>
        <v>10</v>
      </c>
      <c r="J36" s="100">
        <f t="shared" si="2"/>
        <v>45324</v>
      </c>
      <c r="K36" s="120">
        <f t="shared" si="3"/>
        <v>45334</v>
      </c>
    </row>
    <row r="37" spans="1:11" ht="16.2" x14ac:dyDescent="0.3">
      <c r="A37" s="118">
        <f t="shared" si="0"/>
        <v>36</v>
      </c>
      <c r="B37" s="102">
        <v>45156</v>
      </c>
      <c r="C37" s="101" t="s">
        <v>7</v>
      </c>
      <c r="D37" s="101" t="s">
        <v>118</v>
      </c>
      <c r="E37" s="101" t="s">
        <v>9</v>
      </c>
      <c r="F37" s="101" t="s">
        <v>10</v>
      </c>
      <c r="G37" s="102" t="s">
        <v>66</v>
      </c>
      <c r="H37" s="103" t="s">
        <v>11</v>
      </c>
      <c r="I37" s="99">
        <f t="shared" si="1"/>
        <v>10</v>
      </c>
      <c r="J37" s="100">
        <f t="shared" si="2"/>
        <v>45334</v>
      </c>
      <c r="K37" s="120">
        <f t="shared" si="3"/>
        <v>45344</v>
      </c>
    </row>
    <row r="38" spans="1:11" ht="16.2" x14ac:dyDescent="0.3">
      <c r="A38" s="117">
        <f t="shared" si="0"/>
        <v>37</v>
      </c>
      <c r="B38" s="95">
        <v>45156</v>
      </c>
      <c r="C38" s="104" t="s">
        <v>7</v>
      </c>
      <c r="D38" s="104" t="s">
        <v>118</v>
      </c>
      <c r="E38" s="104" t="s">
        <v>9</v>
      </c>
      <c r="F38" s="104" t="s">
        <v>10</v>
      </c>
      <c r="G38" s="95" t="s">
        <v>66</v>
      </c>
      <c r="H38" s="112" t="s">
        <v>11</v>
      </c>
      <c r="I38" s="99">
        <f t="shared" si="1"/>
        <v>10</v>
      </c>
      <c r="J38" s="100">
        <f t="shared" si="2"/>
        <v>45344</v>
      </c>
      <c r="K38" s="120">
        <f t="shared" si="3"/>
        <v>45354</v>
      </c>
    </row>
    <row r="39" spans="1:11" ht="16.2" x14ac:dyDescent="0.3">
      <c r="A39" s="118">
        <f t="shared" si="0"/>
        <v>38</v>
      </c>
      <c r="B39" s="102">
        <v>45166</v>
      </c>
      <c r="C39" s="96" t="s">
        <v>63</v>
      </c>
      <c r="D39" s="101" t="s">
        <v>118</v>
      </c>
      <c r="E39" s="101" t="s">
        <v>40</v>
      </c>
      <c r="F39" s="101" t="s">
        <v>94</v>
      </c>
      <c r="G39" s="102">
        <v>45178</v>
      </c>
      <c r="H39" s="103" t="s">
        <v>62</v>
      </c>
      <c r="I39" s="99">
        <f t="shared" si="1"/>
        <v>12</v>
      </c>
      <c r="J39" s="100">
        <f t="shared" si="2"/>
        <v>45354</v>
      </c>
      <c r="K39" s="120">
        <f t="shared" si="3"/>
        <v>45366</v>
      </c>
    </row>
    <row r="40" spans="1:11" ht="16.2" x14ac:dyDescent="0.3">
      <c r="A40" s="117">
        <f t="shared" si="0"/>
        <v>39</v>
      </c>
      <c r="B40" s="95">
        <v>45175</v>
      </c>
      <c r="C40" s="96" t="s">
        <v>63</v>
      </c>
      <c r="D40" s="96" t="s">
        <v>118</v>
      </c>
      <c r="E40" s="96" t="s">
        <v>107</v>
      </c>
      <c r="F40" s="96" t="s">
        <v>11</v>
      </c>
      <c r="G40" s="97">
        <v>45178</v>
      </c>
      <c r="H40" s="98"/>
      <c r="I40" s="99">
        <f t="shared" si="1"/>
        <v>3</v>
      </c>
      <c r="J40" s="100">
        <f t="shared" si="2"/>
        <v>45366</v>
      </c>
      <c r="K40" s="120">
        <f t="shared" si="3"/>
        <v>45369</v>
      </c>
    </row>
    <row r="41" spans="1:11" ht="16.2" x14ac:dyDescent="0.3">
      <c r="A41" s="118">
        <f t="shared" si="0"/>
        <v>40</v>
      </c>
      <c r="B41" s="97">
        <v>45175</v>
      </c>
      <c r="C41" s="96" t="s">
        <v>63</v>
      </c>
      <c r="D41" s="96" t="s">
        <v>118</v>
      </c>
      <c r="E41" s="96" t="s">
        <v>26</v>
      </c>
      <c r="F41" s="96" t="s">
        <v>74</v>
      </c>
      <c r="G41" s="97">
        <v>45179</v>
      </c>
      <c r="H41" s="98"/>
      <c r="I41" s="99">
        <f t="shared" si="1"/>
        <v>4</v>
      </c>
      <c r="J41" s="100">
        <f t="shared" si="2"/>
        <v>45369</v>
      </c>
      <c r="K41" s="120">
        <f t="shared" si="3"/>
        <v>45373</v>
      </c>
    </row>
    <row r="42" spans="1:11" ht="16.2" x14ac:dyDescent="0.3">
      <c r="A42" s="117">
        <f t="shared" si="0"/>
        <v>41</v>
      </c>
      <c r="B42" s="97">
        <v>45175</v>
      </c>
      <c r="C42" s="97" t="s">
        <v>63</v>
      </c>
      <c r="D42" s="96" t="s">
        <v>118</v>
      </c>
      <c r="E42" s="96" t="s">
        <v>13</v>
      </c>
      <c r="F42" s="96" t="s">
        <v>14</v>
      </c>
      <c r="G42" s="97">
        <v>45179</v>
      </c>
      <c r="H42" s="98"/>
      <c r="I42" s="99">
        <f t="shared" si="1"/>
        <v>4</v>
      </c>
      <c r="J42" s="100">
        <f t="shared" si="2"/>
        <v>45373</v>
      </c>
      <c r="K42" s="120">
        <f t="shared" si="3"/>
        <v>45377</v>
      </c>
    </row>
    <row r="43" spans="1:11" ht="16.2" x14ac:dyDescent="0.3">
      <c r="A43" s="117">
        <f t="shared" si="0"/>
        <v>42</v>
      </c>
      <c r="B43" s="95">
        <v>45156</v>
      </c>
      <c r="C43" s="96" t="s">
        <v>63</v>
      </c>
      <c r="D43" s="104" t="s">
        <v>119</v>
      </c>
      <c r="E43" s="104" t="s">
        <v>60</v>
      </c>
      <c r="F43" s="104" t="s">
        <v>95</v>
      </c>
      <c r="G43" s="95" t="s">
        <v>66</v>
      </c>
      <c r="H43" s="112"/>
      <c r="I43" s="99">
        <f t="shared" si="1"/>
        <v>10</v>
      </c>
      <c r="J43" s="100">
        <f t="shared" si="2"/>
        <v>45377</v>
      </c>
      <c r="K43" s="120">
        <f t="shared" si="3"/>
        <v>45387</v>
      </c>
    </row>
    <row r="44" spans="1:11" ht="16.2" x14ac:dyDescent="0.3">
      <c r="A44" s="119">
        <f t="shared" si="0"/>
        <v>43</v>
      </c>
      <c r="B44" s="107">
        <v>45175</v>
      </c>
      <c r="C44" s="108" t="s">
        <v>63</v>
      </c>
      <c r="D44" s="108" t="s">
        <v>119</v>
      </c>
      <c r="E44" s="110" t="s">
        <v>13</v>
      </c>
      <c r="F44" s="108" t="s">
        <v>11</v>
      </c>
      <c r="G44" s="107">
        <v>45177</v>
      </c>
      <c r="H44" s="114" t="s">
        <v>126</v>
      </c>
      <c r="I44" s="115">
        <f t="shared" si="1"/>
        <v>2</v>
      </c>
      <c r="J44" s="100">
        <f t="shared" si="2"/>
        <v>45387</v>
      </c>
      <c r="K44" s="120">
        <f t="shared" si="3"/>
        <v>45389</v>
      </c>
    </row>
    <row r="45" spans="1:11" ht="16.2" x14ac:dyDescent="0.3">
      <c r="A45" s="117">
        <f>+IF(NOT(ISNUMBER(A44)),1,A44+1)</f>
        <v>44</v>
      </c>
      <c r="B45" s="8">
        <v>45175</v>
      </c>
      <c r="C45" s="8" t="s">
        <v>143</v>
      </c>
      <c r="D45" s="7" t="s">
        <v>118</v>
      </c>
      <c r="E45" s="7" t="s">
        <v>26</v>
      </c>
      <c r="F45" s="7" t="s">
        <v>14</v>
      </c>
      <c r="G45" s="8">
        <v>45180</v>
      </c>
      <c r="H45" s="116" t="s">
        <v>144</v>
      </c>
      <c r="I45" s="99">
        <f>IF(G45-B45&lt;=0,1,G45-B45)</f>
        <v>5</v>
      </c>
      <c r="J45" s="100">
        <f t="shared" si="2"/>
        <v>45389</v>
      </c>
      <c r="K45" s="120">
        <f>+IF(ISTEXT(J44),J45,J45+I45)</f>
        <v>45394</v>
      </c>
    </row>
    <row r="46" spans="1:11" ht="16.2" x14ac:dyDescent="0.3">
      <c r="A46" s="117">
        <f>+IF(NOT(ISNUMBER(A45)),1,A45+1)</f>
        <v>45</v>
      </c>
      <c r="B46" s="8">
        <v>45177</v>
      </c>
      <c r="C46" s="8" t="s">
        <v>63</v>
      </c>
      <c r="D46" s="7" t="s">
        <v>117</v>
      </c>
      <c r="E46" s="7" t="s">
        <v>29</v>
      </c>
      <c r="F46" s="7"/>
      <c r="G46" s="8"/>
      <c r="H46" s="116"/>
      <c r="I46" s="99">
        <f>IF(G46-B46&lt;=0,1,G46-B46)</f>
        <v>1</v>
      </c>
      <c r="J46" s="100">
        <f>+IF(NOT(ISTEXT(B45)),IF(B46=K45,K45+1,K45),B46)</f>
        <v>45394</v>
      </c>
      <c r="K46" s="120">
        <f>+IF(ISTEXT(J45),J46,J46+I46)</f>
        <v>45395</v>
      </c>
    </row>
    <row r="47" spans="1:11" ht="16.2" x14ac:dyDescent="0.3">
      <c r="A47" s="117">
        <f>+IF(NOT(ISNUMBER(A46)),1,A46+1)</f>
        <v>46</v>
      </c>
      <c r="B47" s="8">
        <v>45177</v>
      </c>
      <c r="C47" s="8" t="s">
        <v>63</v>
      </c>
      <c r="D47" s="7" t="s">
        <v>118</v>
      </c>
      <c r="E47" s="7" t="s">
        <v>26</v>
      </c>
      <c r="F47" s="7" t="s">
        <v>11</v>
      </c>
      <c r="G47" s="8">
        <v>45181</v>
      </c>
      <c r="H47" s="116" t="s">
        <v>145</v>
      </c>
      <c r="I47" s="99">
        <f>IF(G47-B47&lt;=0,1,G47-B47)</f>
        <v>4</v>
      </c>
      <c r="J47" s="100">
        <f>+IF(NOT(ISTEXT(B46)),IF(B47=K46,K46+1,K46),B47)</f>
        <v>45395</v>
      </c>
      <c r="K47" s="120">
        <f>+IF(ISTEXT(J46),J47,J47+I47)</f>
        <v>45399</v>
      </c>
    </row>
    <row r="48" spans="1:11" ht="16.2" x14ac:dyDescent="0.3">
      <c r="A48" s="117">
        <f>+IF(NOT(ISNUMBER(A47)),1,A47+1)</f>
        <v>47</v>
      </c>
      <c r="B48" s="8">
        <v>45798</v>
      </c>
      <c r="C48" s="8" t="s">
        <v>146</v>
      </c>
      <c r="D48" s="7" t="s">
        <v>118</v>
      </c>
      <c r="E48" s="7" t="s">
        <v>26</v>
      </c>
      <c r="F48" s="7" t="s">
        <v>75</v>
      </c>
      <c r="G48" s="8">
        <v>45798</v>
      </c>
      <c r="H48" s="116"/>
      <c r="I48" s="99">
        <f>IF(G48-B48&lt;=0,1,G48-B48)</f>
        <v>1</v>
      </c>
      <c r="J48" s="123">
        <f>+IF(NOT(ISTEXT(B47)),IF(B48=K47,K47+1,K47),B48)</f>
        <v>45399</v>
      </c>
      <c r="K48" s="124">
        <f>+IF(ISTEXT(J47),J48,J48+I48)</f>
        <v>45400</v>
      </c>
    </row>
    <row r="49" spans="1:11" ht="16.2" x14ac:dyDescent="0.3">
      <c r="A49" s="117">
        <f>+IF(NOT(ISNUMBER(A48)),1,A48+1)</f>
        <v>48</v>
      </c>
      <c r="B49" s="8">
        <v>45798</v>
      </c>
      <c r="C49" s="8"/>
      <c r="D49" s="7" t="s">
        <v>118</v>
      </c>
      <c r="E49" s="7"/>
      <c r="F49" s="7"/>
      <c r="G49" s="8"/>
      <c r="H49" s="116"/>
      <c r="I49" s="99">
        <f>IF(G49-B49&lt;=0,1,G49-B49)</f>
        <v>1</v>
      </c>
      <c r="J49" s="123">
        <f>+IF(NOT(ISTEXT(B48)),IF(B49=K48,K48+1,K48),B49)</f>
        <v>45400</v>
      </c>
      <c r="K49" s="124">
        <f>+IF(ISTEXT(J48),J49,J49+I49)</f>
        <v>45401</v>
      </c>
    </row>
  </sheetData>
  <phoneticPr fontId="2" type="noConversion"/>
  <dataValidations count="11">
    <dataValidation operator="equal" allowBlank="1" showInputMessage="1" showErrorMessage="1" errorTitle="FECHA NO DISPONIBLE" error="Debe ingresar la fecha de hoy." sqref="B1" xr:uid="{F5F0F433-2110-4057-9829-2A6B2BFC7B1D}"/>
    <dataValidation showErrorMessage="1" sqref="E1" xr:uid="{95417627-41C6-4CD6-A3F4-C1A25564F73C}"/>
    <dataValidation operator="greaterThanOrEqual" allowBlank="1" showInputMessage="1" showErrorMessage="1" errorTitle="Fecha errónea" error="La fecha de entrega debe ser mayor a la fecha de hoy." sqref="G1" xr:uid="{CB6CEE86-DDA0-4D14-8AD6-E97E7E1D2546}"/>
    <dataValidation type="date" operator="equal" allowBlank="1" showInputMessage="1" showErrorMessage="1" errorTitle="FECHA NO DISPONIBLE" error="Debe ingresar la fecha de hoy." sqref="B45:B49" xr:uid="{A4966D35-2518-4605-BC7E-63FCD970C0B7}">
      <formula1>XFC39</formula1>
    </dataValidation>
    <dataValidation type="list" allowBlank="1" showInputMessage="1" showErrorMessage="1" sqref="D45:D49" xr:uid="{8ED0BA83-7B2E-4CCB-99CE-632F36631E70}">
      <formula1>DATA</formula1>
    </dataValidation>
    <dataValidation type="list" showErrorMessage="1" sqref="E45:E49" xr:uid="{019B4DCB-81FF-4423-9552-C20069E3C4D1}">
      <formula1>INDIRECT(E41)</formula1>
    </dataValidation>
    <dataValidation type="date" operator="greaterThanOrEqual" allowBlank="1" showInputMessage="1" showErrorMessage="1" errorTitle="FECHA OCUPADA" error="La fecha que ingresa debe ser mayor o igual a la fecha disponible del analista." sqref="G45" xr:uid="{CE7B6E96-0EAB-4963-BA12-31FE576BD8F0}">
      <formula1>G50</formula1>
    </dataValidation>
    <dataValidation type="date" operator="greaterThanOrEqual" allowBlank="1" showInputMessage="1" showErrorMessage="1" errorTitle="FECHA OCUPADA" error="La fecha que ingresa debe ser mayor o igual a la fecha disponible del analista." sqref="G46" xr:uid="{4B2E5980-A714-4700-9E67-23A8671ACCF4}">
      <formula1>G50</formula1>
    </dataValidation>
    <dataValidation type="date" operator="greaterThanOrEqual" allowBlank="1" showInputMessage="1" showErrorMessage="1" errorTitle="FECHA OCUPADA" error="La fecha que ingresa debe ser mayor o igual a la fecha disponible del analista." sqref="G47" xr:uid="{14D9854D-5332-47A7-B0FB-745BAF9FE737}">
      <formula1>G50</formula1>
    </dataValidation>
    <dataValidation type="date" operator="greaterThanOrEqual" allowBlank="1" showInputMessage="1" showErrorMessage="1" errorTitle="FECHA OCUPADA" error="La fecha que ingresa debe ser mayor o igual a la fecha disponible del analista." sqref="G48" xr:uid="{69134BE0-58BD-4A78-902B-C7136A187428}">
      <formula1>G50</formula1>
    </dataValidation>
    <dataValidation type="date" operator="greaterThanOrEqual" allowBlank="1" showInputMessage="1" showErrorMessage="1" errorTitle="FECHA OCUPADA" error="La fecha que ingresa debe ser mayor o igual a la fecha disponible del analista." sqref="G49" xr:uid="{3681D7B3-2C7C-4834-ADF1-7D66418DCB0E}">
      <formula1>G50</formula1>
    </dataValidation>
  </dataValidations>
  <pageMargins left="0.7" right="0.7" top="0.75" bottom="0.75" header="0.3" footer="0.3"/>
  <pageSetup orientation="portrait" r:id="rId1"/>
  <headerFooter>
    <oddFooter>&amp;C_x000D_&amp;1#&amp;"Calibri"&amp;10&amp;K000000 Confidential - Not for Public Consumption or Distribution</oddFooter>
  </headerFooter>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F69AB32-8C76-4453-9A74-D6D16EA97AEA}">
          <x14:formula1>
            <xm:f>'Tablas Auxiliares'!$F$2:$F$6</xm:f>
          </x14:formula1>
          <xm:sqref>F45:F49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96E0E-7840-4226-B703-E0F404D9908C}">
  <sheetPr codeName="Hoja3"/>
  <dimension ref="A1:K48"/>
  <sheetViews>
    <sheetView topLeftCell="C22" workbookViewId="0">
      <selection activeCell="C48" sqref="C48"/>
    </sheetView>
  </sheetViews>
  <sheetFormatPr baseColWidth="10" defaultRowHeight="14.4" x14ac:dyDescent="0.3"/>
  <cols>
    <col min="1" max="1" width="11" bestFit="1" customWidth="1"/>
    <col min="2" max="2" width="20.88671875" bestFit="1" customWidth="1"/>
    <col min="3" max="3" width="35.33203125" bestFit="1" customWidth="1"/>
    <col min="4" max="4" width="20" bestFit="1" customWidth="1"/>
    <col min="5" max="5" width="16.109375" bestFit="1" customWidth="1"/>
    <col min="6" max="6" width="26.6640625" bestFit="1" customWidth="1"/>
    <col min="7" max="7" width="29.6640625" bestFit="1" customWidth="1"/>
    <col min="8" max="8" width="37.77734375" bestFit="1" customWidth="1"/>
    <col min="9" max="9" width="35" bestFit="1" customWidth="1"/>
    <col min="10" max="10" width="22" bestFit="1" customWidth="1"/>
    <col min="11" max="11" width="24.5546875" bestFit="1" customWidth="1"/>
  </cols>
  <sheetData>
    <row r="1" spans="1:11" x14ac:dyDescent="0.3">
      <c r="A1" t="s">
        <v>125</v>
      </c>
      <c r="B1" t="s">
        <v>0</v>
      </c>
      <c r="C1" t="s">
        <v>3</v>
      </c>
      <c r="D1" t="s">
        <v>2</v>
      </c>
      <c r="E1" t="s">
        <v>123</v>
      </c>
      <c r="F1" t="s">
        <v>5</v>
      </c>
      <c r="G1" t="s">
        <v>122</v>
      </c>
      <c r="H1" t="s">
        <v>124</v>
      </c>
      <c r="I1" t="s">
        <v>140</v>
      </c>
      <c r="J1" t="s">
        <v>141</v>
      </c>
      <c r="K1" t="s">
        <v>142</v>
      </c>
    </row>
    <row r="2" spans="1:11" x14ac:dyDescent="0.3">
      <c r="A2">
        <v>1</v>
      </c>
      <c r="B2" s="125">
        <v>45166</v>
      </c>
      <c r="C2" t="s">
        <v>63</v>
      </c>
      <c r="D2" t="s">
        <v>112</v>
      </c>
      <c r="E2" t="s">
        <v>40</v>
      </c>
      <c r="F2" t="s">
        <v>95</v>
      </c>
      <c r="G2" s="125">
        <v>45166</v>
      </c>
      <c r="H2">
        <v>123</v>
      </c>
      <c r="I2">
        <v>1</v>
      </c>
      <c r="J2" s="125">
        <v>45166</v>
      </c>
      <c r="K2" s="125">
        <v>45166</v>
      </c>
    </row>
    <row r="3" spans="1:11" x14ac:dyDescent="0.3">
      <c r="A3">
        <v>2</v>
      </c>
      <c r="B3" s="125">
        <v>45166</v>
      </c>
      <c r="C3" t="s">
        <v>63</v>
      </c>
      <c r="D3" t="s">
        <v>112</v>
      </c>
      <c r="E3" t="s">
        <v>60</v>
      </c>
      <c r="F3" t="s">
        <v>95</v>
      </c>
      <c r="G3" s="125">
        <v>45178</v>
      </c>
      <c r="H3" t="s">
        <v>65</v>
      </c>
      <c r="I3">
        <v>12</v>
      </c>
      <c r="J3" s="125">
        <v>45166</v>
      </c>
      <c r="K3" s="125">
        <v>45166</v>
      </c>
    </row>
    <row r="4" spans="1:11" x14ac:dyDescent="0.3">
      <c r="A4">
        <v>3</v>
      </c>
      <c r="B4" s="125">
        <v>45166</v>
      </c>
      <c r="C4" t="s">
        <v>63</v>
      </c>
      <c r="D4" t="s">
        <v>112</v>
      </c>
      <c r="E4" t="s">
        <v>59</v>
      </c>
      <c r="F4" t="s">
        <v>95</v>
      </c>
      <c r="G4" s="125">
        <v>45178</v>
      </c>
      <c r="H4" t="s">
        <v>67</v>
      </c>
      <c r="I4">
        <v>12</v>
      </c>
      <c r="J4" s="125">
        <v>45167</v>
      </c>
      <c r="K4" s="125">
        <v>45179</v>
      </c>
    </row>
    <row r="5" spans="1:11" x14ac:dyDescent="0.3">
      <c r="A5">
        <v>4</v>
      </c>
      <c r="B5" s="125">
        <v>45166</v>
      </c>
      <c r="C5" t="s">
        <v>63</v>
      </c>
      <c r="D5" t="s">
        <v>111</v>
      </c>
      <c r="E5" t="s">
        <v>59</v>
      </c>
      <c r="F5" t="s">
        <v>95</v>
      </c>
      <c r="G5" s="125">
        <v>45166</v>
      </c>
      <c r="H5" t="s">
        <v>69</v>
      </c>
      <c r="I5">
        <v>1</v>
      </c>
      <c r="J5" s="125">
        <v>45179</v>
      </c>
      <c r="K5" s="125">
        <v>45180</v>
      </c>
    </row>
    <row r="6" spans="1:11" x14ac:dyDescent="0.3">
      <c r="A6">
        <v>5</v>
      </c>
      <c r="B6" s="125">
        <v>45166</v>
      </c>
      <c r="C6" t="s">
        <v>63</v>
      </c>
      <c r="D6" t="s">
        <v>111</v>
      </c>
      <c r="E6" t="s">
        <v>60</v>
      </c>
      <c r="F6" t="s">
        <v>95</v>
      </c>
      <c r="G6" s="125">
        <v>45166</v>
      </c>
      <c r="H6" t="s">
        <v>68</v>
      </c>
      <c r="I6">
        <v>1</v>
      </c>
      <c r="J6" s="125">
        <v>45166</v>
      </c>
      <c r="K6" s="125">
        <v>45167</v>
      </c>
    </row>
    <row r="7" spans="1:11" x14ac:dyDescent="0.3">
      <c r="A7">
        <v>6</v>
      </c>
      <c r="B7" s="125">
        <v>45166</v>
      </c>
      <c r="C7" t="s">
        <v>63</v>
      </c>
      <c r="D7" t="s">
        <v>111</v>
      </c>
      <c r="E7" t="s">
        <v>46</v>
      </c>
      <c r="F7" t="s">
        <v>95</v>
      </c>
      <c r="G7" s="125">
        <v>45168</v>
      </c>
      <c r="H7" t="s">
        <v>71</v>
      </c>
      <c r="I7">
        <v>2</v>
      </c>
      <c r="J7" s="125">
        <v>45166</v>
      </c>
      <c r="K7" s="125">
        <v>45166</v>
      </c>
    </row>
    <row r="8" spans="1:11" x14ac:dyDescent="0.3">
      <c r="A8">
        <v>7</v>
      </c>
      <c r="B8" s="125">
        <v>45166</v>
      </c>
      <c r="C8" t="s">
        <v>63</v>
      </c>
      <c r="D8" t="s">
        <v>111</v>
      </c>
      <c r="E8" t="s">
        <v>46</v>
      </c>
      <c r="F8" t="s">
        <v>95</v>
      </c>
      <c r="G8" s="125">
        <v>45174</v>
      </c>
      <c r="H8" t="s">
        <v>72</v>
      </c>
      <c r="I8">
        <v>8</v>
      </c>
      <c r="J8" s="125">
        <v>45166</v>
      </c>
      <c r="K8" s="125">
        <v>45166</v>
      </c>
    </row>
    <row r="9" spans="1:11" x14ac:dyDescent="0.3">
      <c r="A9">
        <v>8</v>
      </c>
      <c r="B9" s="125">
        <v>45166</v>
      </c>
      <c r="C9" t="s">
        <v>63</v>
      </c>
      <c r="D9" t="s">
        <v>111</v>
      </c>
      <c r="E9" t="s">
        <v>60</v>
      </c>
      <c r="F9" t="s">
        <v>95</v>
      </c>
      <c r="G9" s="125">
        <v>45178</v>
      </c>
      <c r="I9">
        <v>12</v>
      </c>
      <c r="J9" s="125">
        <v>45166</v>
      </c>
      <c r="K9" s="125">
        <v>45166</v>
      </c>
    </row>
    <row r="10" spans="1:11" x14ac:dyDescent="0.3">
      <c r="A10">
        <v>9</v>
      </c>
      <c r="B10" s="125">
        <v>45166</v>
      </c>
      <c r="C10" t="s">
        <v>63</v>
      </c>
      <c r="D10" t="s">
        <v>111</v>
      </c>
      <c r="E10" t="s">
        <v>40</v>
      </c>
      <c r="F10" t="s">
        <v>95</v>
      </c>
      <c r="G10" s="125">
        <v>45178</v>
      </c>
      <c r="I10">
        <v>12</v>
      </c>
      <c r="J10" s="125">
        <v>45167</v>
      </c>
      <c r="K10" s="125">
        <v>45179</v>
      </c>
    </row>
    <row r="11" spans="1:11" x14ac:dyDescent="0.3">
      <c r="A11">
        <v>10</v>
      </c>
      <c r="B11" s="125">
        <v>45173</v>
      </c>
      <c r="C11" t="s">
        <v>63</v>
      </c>
      <c r="D11" t="s">
        <v>111</v>
      </c>
      <c r="E11" t="s">
        <v>9</v>
      </c>
      <c r="F11" t="s">
        <v>74</v>
      </c>
      <c r="G11" s="125">
        <v>45178</v>
      </c>
      <c r="I11">
        <v>5</v>
      </c>
      <c r="J11" s="125">
        <v>45179</v>
      </c>
      <c r="K11" s="125">
        <v>45184</v>
      </c>
    </row>
    <row r="12" spans="1:11" x14ac:dyDescent="0.3">
      <c r="A12">
        <v>11</v>
      </c>
      <c r="B12" s="125">
        <v>45798</v>
      </c>
      <c r="C12" t="s">
        <v>63</v>
      </c>
      <c r="D12" t="s">
        <v>111</v>
      </c>
      <c r="E12" t="s">
        <v>34</v>
      </c>
      <c r="F12" t="s">
        <v>74</v>
      </c>
      <c r="G12" s="125">
        <v>45178</v>
      </c>
      <c r="I12">
        <v>1</v>
      </c>
      <c r="J12" s="125">
        <v>45184</v>
      </c>
      <c r="K12" s="125">
        <v>45185</v>
      </c>
    </row>
    <row r="13" spans="1:11" x14ac:dyDescent="0.3">
      <c r="A13">
        <v>12</v>
      </c>
      <c r="B13" s="125">
        <v>45175</v>
      </c>
      <c r="C13" t="s">
        <v>63</v>
      </c>
      <c r="D13" t="s">
        <v>111</v>
      </c>
      <c r="E13" t="s">
        <v>35</v>
      </c>
      <c r="F13" t="s">
        <v>14</v>
      </c>
      <c r="G13" s="125">
        <v>45178</v>
      </c>
      <c r="I13">
        <v>3</v>
      </c>
      <c r="J13" s="125">
        <v>45185</v>
      </c>
      <c r="K13" s="125">
        <v>45188</v>
      </c>
    </row>
    <row r="14" spans="1:11" x14ac:dyDescent="0.3">
      <c r="A14">
        <v>13</v>
      </c>
      <c r="B14" s="125">
        <v>45175</v>
      </c>
      <c r="C14" t="s">
        <v>131</v>
      </c>
      <c r="D14" t="s">
        <v>111</v>
      </c>
      <c r="E14" t="s">
        <v>9</v>
      </c>
      <c r="F14" t="s">
        <v>11</v>
      </c>
      <c r="G14" s="125">
        <v>45178</v>
      </c>
      <c r="I14">
        <v>3</v>
      </c>
      <c r="J14" s="125">
        <v>45188</v>
      </c>
      <c r="K14" s="125">
        <v>45191</v>
      </c>
    </row>
    <row r="15" spans="1:11" x14ac:dyDescent="0.3">
      <c r="A15">
        <v>14</v>
      </c>
      <c r="B15" s="125">
        <v>45175</v>
      </c>
      <c r="C15" t="s">
        <v>130</v>
      </c>
      <c r="D15" t="s">
        <v>111</v>
      </c>
      <c r="E15" t="s">
        <v>9</v>
      </c>
      <c r="F15" t="s">
        <v>74</v>
      </c>
      <c r="G15" s="125">
        <v>45180</v>
      </c>
      <c r="I15">
        <v>5</v>
      </c>
      <c r="J15" s="125">
        <v>45191</v>
      </c>
      <c r="K15" s="125">
        <v>45196</v>
      </c>
    </row>
    <row r="16" spans="1:11" x14ac:dyDescent="0.3">
      <c r="A16">
        <v>15</v>
      </c>
      <c r="B16" s="125">
        <v>45166</v>
      </c>
      <c r="C16" t="s">
        <v>63</v>
      </c>
      <c r="D16" t="s">
        <v>113</v>
      </c>
      <c r="E16" t="s">
        <v>46</v>
      </c>
      <c r="F16" t="s">
        <v>14</v>
      </c>
      <c r="G16" s="125">
        <v>45168</v>
      </c>
      <c r="H16" t="s">
        <v>77</v>
      </c>
      <c r="I16">
        <v>2</v>
      </c>
      <c r="J16" s="125">
        <v>45196</v>
      </c>
      <c r="K16" s="125">
        <v>45198</v>
      </c>
    </row>
    <row r="17" spans="1:11" x14ac:dyDescent="0.3">
      <c r="A17">
        <v>16</v>
      </c>
      <c r="B17" s="125">
        <v>45168</v>
      </c>
      <c r="C17" t="s">
        <v>97</v>
      </c>
      <c r="D17" t="s">
        <v>113</v>
      </c>
      <c r="E17" t="s">
        <v>23</v>
      </c>
      <c r="F17" t="s">
        <v>76</v>
      </c>
      <c r="G17" s="125">
        <v>45174</v>
      </c>
      <c r="H17" t="s">
        <v>98</v>
      </c>
      <c r="I17">
        <v>6</v>
      </c>
      <c r="J17" s="125">
        <v>45168</v>
      </c>
      <c r="K17" s="125">
        <v>45174</v>
      </c>
    </row>
    <row r="18" spans="1:11" x14ac:dyDescent="0.3">
      <c r="A18">
        <v>17</v>
      </c>
      <c r="B18" s="125">
        <v>45175</v>
      </c>
      <c r="C18" t="s">
        <v>136</v>
      </c>
      <c r="D18" t="s">
        <v>113</v>
      </c>
      <c r="E18" t="s">
        <v>106</v>
      </c>
      <c r="F18" t="s">
        <v>74</v>
      </c>
      <c r="G18" s="125">
        <v>45178</v>
      </c>
      <c r="H18" t="s">
        <v>137</v>
      </c>
      <c r="I18">
        <v>3</v>
      </c>
      <c r="J18" s="125">
        <v>45175</v>
      </c>
      <c r="K18" s="125">
        <v>45175</v>
      </c>
    </row>
    <row r="19" spans="1:11" x14ac:dyDescent="0.3">
      <c r="A19">
        <v>18</v>
      </c>
      <c r="B19" s="125">
        <v>45166</v>
      </c>
      <c r="C19" t="s">
        <v>78</v>
      </c>
      <c r="D19" t="s">
        <v>114</v>
      </c>
      <c r="E19" t="s">
        <v>35</v>
      </c>
      <c r="F19" t="s">
        <v>75</v>
      </c>
      <c r="G19" s="125">
        <v>45177</v>
      </c>
      <c r="H19" t="s">
        <v>79</v>
      </c>
      <c r="I19">
        <v>11</v>
      </c>
      <c r="J19" s="125">
        <v>45175</v>
      </c>
      <c r="K19" s="125">
        <v>45186</v>
      </c>
    </row>
    <row r="20" spans="1:11" x14ac:dyDescent="0.3">
      <c r="A20">
        <v>19</v>
      </c>
      <c r="B20" s="125">
        <v>45166</v>
      </c>
      <c r="C20" t="s">
        <v>63</v>
      </c>
      <c r="D20" t="s">
        <v>114</v>
      </c>
      <c r="E20" t="s">
        <v>40</v>
      </c>
      <c r="F20" t="s">
        <v>96</v>
      </c>
      <c r="G20" s="125">
        <v>45178</v>
      </c>
      <c r="I20">
        <v>12</v>
      </c>
      <c r="J20" s="125">
        <v>45166</v>
      </c>
      <c r="K20" s="125">
        <v>45178</v>
      </c>
    </row>
    <row r="21" spans="1:11" x14ac:dyDescent="0.3">
      <c r="A21">
        <v>20</v>
      </c>
      <c r="B21" s="125">
        <v>45175</v>
      </c>
      <c r="C21" t="s">
        <v>129</v>
      </c>
      <c r="D21" t="s">
        <v>114</v>
      </c>
      <c r="E21" t="s">
        <v>61</v>
      </c>
      <c r="F21" t="s">
        <v>76</v>
      </c>
      <c r="G21" s="125">
        <v>45194</v>
      </c>
      <c r="I21">
        <v>19</v>
      </c>
      <c r="J21" s="125">
        <v>45178</v>
      </c>
      <c r="K21" s="125">
        <v>45197</v>
      </c>
    </row>
    <row r="22" spans="1:11" x14ac:dyDescent="0.3">
      <c r="A22">
        <v>21</v>
      </c>
      <c r="B22" s="125">
        <v>45175</v>
      </c>
      <c r="C22" t="s">
        <v>63</v>
      </c>
      <c r="D22" t="s">
        <v>114</v>
      </c>
      <c r="E22" t="s">
        <v>61</v>
      </c>
      <c r="F22" t="s">
        <v>74</v>
      </c>
      <c r="G22" s="125">
        <v>45195</v>
      </c>
      <c r="I22">
        <v>20</v>
      </c>
      <c r="J22" s="125">
        <v>45197</v>
      </c>
      <c r="K22" s="125">
        <v>45217</v>
      </c>
    </row>
    <row r="23" spans="1:11" x14ac:dyDescent="0.3">
      <c r="A23">
        <v>22</v>
      </c>
      <c r="B23" s="125">
        <v>45166</v>
      </c>
      <c r="C23" t="s">
        <v>63</v>
      </c>
      <c r="D23" t="s">
        <v>115</v>
      </c>
      <c r="E23" t="s">
        <v>60</v>
      </c>
      <c r="F23" t="s">
        <v>95</v>
      </c>
      <c r="G23" s="125">
        <v>45178</v>
      </c>
      <c r="I23">
        <v>12</v>
      </c>
      <c r="J23" s="125">
        <v>45217</v>
      </c>
      <c r="K23" s="125">
        <v>45229</v>
      </c>
    </row>
    <row r="24" spans="1:11" x14ac:dyDescent="0.3">
      <c r="A24">
        <v>23</v>
      </c>
      <c r="B24" s="125">
        <v>45166</v>
      </c>
      <c r="C24" t="s">
        <v>63</v>
      </c>
      <c r="D24" t="s">
        <v>115</v>
      </c>
      <c r="E24" t="s">
        <v>40</v>
      </c>
      <c r="F24" t="s">
        <v>95</v>
      </c>
      <c r="G24" s="125">
        <v>45178</v>
      </c>
      <c r="H24" t="s">
        <v>64</v>
      </c>
      <c r="I24">
        <v>12</v>
      </c>
      <c r="J24" s="125">
        <v>45229</v>
      </c>
      <c r="K24" s="125">
        <v>45241</v>
      </c>
    </row>
    <row r="25" spans="1:11" x14ac:dyDescent="0.3">
      <c r="A25">
        <v>24</v>
      </c>
      <c r="B25" s="125">
        <v>45175</v>
      </c>
      <c r="C25" t="s">
        <v>63</v>
      </c>
      <c r="D25" t="s">
        <v>115</v>
      </c>
      <c r="E25" t="s">
        <v>107</v>
      </c>
      <c r="F25" t="s">
        <v>74</v>
      </c>
      <c r="G25" s="125">
        <v>45177</v>
      </c>
      <c r="I25">
        <v>2</v>
      </c>
      <c r="J25" s="125">
        <v>45241</v>
      </c>
      <c r="K25" s="125">
        <v>45243</v>
      </c>
    </row>
    <row r="26" spans="1:11" x14ac:dyDescent="0.3">
      <c r="A26">
        <v>25</v>
      </c>
      <c r="B26" s="125">
        <v>45156</v>
      </c>
      <c r="C26" t="s">
        <v>63</v>
      </c>
      <c r="D26" t="s">
        <v>116</v>
      </c>
      <c r="E26" t="s">
        <v>13</v>
      </c>
      <c r="F26" t="s">
        <v>95</v>
      </c>
      <c r="G26" s="125">
        <v>45166</v>
      </c>
      <c r="H26" t="s">
        <v>12</v>
      </c>
      <c r="I26">
        <v>10</v>
      </c>
      <c r="J26" s="125">
        <v>45243</v>
      </c>
      <c r="K26" s="125">
        <v>45253</v>
      </c>
    </row>
    <row r="27" spans="1:11" x14ac:dyDescent="0.3">
      <c r="A27">
        <v>26</v>
      </c>
      <c r="B27" s="125">
        <v>45175</v>
      </c>
      <c r="C27" t="s">
        <v>132</v>
      </c>
      <c r="D27" t="s">
        <v>116</v>
      </c>
      <c r="E27" t="s">
        <v>54</v>
      </c>
      <c r="F27" t="s">
        <v>74</v>
      </c>
      <c r="G27" s="125">
        <v>45178</v>
      </c>
      <c r="I27">
        <v>3</v>
      </c>
      <c r="J27" s="125">
        <v>45253</v>
      </c>
      <c r="K27" s="125">
        <v>45256</v>
      </c>
    </row>
    <row r="28" spans="1:11" x14ac:dyDescent="0.3">
      <c r="A28">
        <v>27</v>
      </c>
      <c r="B28" s="125">
        <v>45175</v>
      </c>
      <c r="C28" t="s">
        <v>63</v>
      </c>
      <c r="D28" t="s">
        <v>116</v>
      </c>
      <c r="E28" t="s">
        <v>47</v>
      </c>
      <c r="F28" t="s">
        <v>11</v>
      </c>
      <c r="G28" s="125">
        <v>45178</v>
      </c>
      <c r="H28" t="s">
        <v>139</v>
      </c>
      <c r="I28">
        <v>3</v>
      </c>
      <c r="J28" s="125">
        <v>45256</v>
      </c>
      <c r="K28" s="125">
        <v>45259</v>
      </c>
    </row>
    <row r="29" spans="1:11" x14ac:dyDescent="0.3">
      <c r="A29">
        <v>28</v>
      </c>
      <c r="B29" s="125">
        <v>45173</v>
      </c>
      <c r="C29" t="s">
        <v>63</v>
      </c>
      <c r="D29" t="s">
        <v>117</v>
      </c>
      <c r="E29" t="s">
        <v>29</v>
      </c>
      <c r="F29" t="s">
        <v>74</v>
      </c>
      <c r="G29" s="125">
        <v>45178</v>
      </c>
      <c r="I29">
        <v>5</v>
      </c>
      <c r="J29" s="125">
        <v>45259</v>
      </c>
      <c r="K29" s="125">
        <v>45264</v>
      </c>
    </row>
    <row r="30" spans="1:11" x14ac:dyDescent="0.3">
      <c r="A30">
        <v>29</v>
      </c>
      <c r="B30" s="125">
        <v>45156</v>
      </c>
      <c r="C30" t="s">
        <v>63</v>
      </c>
      <c r="D30" t="s">
        <v>118</v>
      </c>
      <c r="E30" t="s">
        <v>9</v>
      </c>
      <c r="F30" t="s">
        <v>10</v>
      </c>
      <c r="G30" s="125">
        <v>45166</v>
      </c>
      <c r="H30" t="s">
        <v>11</v>
      </c>
      <c r="I30">
        <v>10</v>
      </c>
      <c r="J30" s="125">
        <v>45264</v>
      </c>
      <c r="K30" s="125">
        <v>45274</v>
      </c>
    </row>
    <row r="31" spans="1:11" x14ac:dyDescent="0.3">
      <c r="A31">
        <v>30</v>
      </c>
      <c r="B31" s="125">
        <v>45156</v>
      </c>
      <c r="C31" t="s">
        <v>63</v>
      </c>
      <c r="D31" t="s">
        <v>118</v>
      </c>
      <c r="E31" t="s">
        <v>13</v>
      </c>
      <c r="F31" t="s">
        <v>14</v>
      </c>
      <c r="G31" s="125">
        <v>45166</v>
      </c>
      <c r="H31" t="s">
        <v>15</v>
      </c>
      <c r="I31">
        <v>10</v>
      </c>
      <c r="J31" s="125">
        <v>45274</v>
      </c>
      <c r="K31" s="125">
        <v>45284</v>
      </c>
    </row>
    <row r="32" spans="1:11" x14ac:dyDescent="0.3">
      <c r="A32">
        <v>31</v>
      </c>
      <c r="B32" s="125">
        <v>45156</v>
      </c>
      <c r="C32" t="s">
        <v>7</v>
      </c>
      <c r="D32" t="s">
        <v>118</v>
      </c>
      <c r="E32" t="s">
        <v>9</v>
      </c>
      <c r="F32" t="s">
        <v>10</v>
      </c>
      <c r="G32" s="125">
        <v>45166</v>
      </c>
      <c r="H32" t="s">
        <v>11</v>
      </c>
      <c r="I32">
        <v>10</v>
      </c>
      <c r="J32" s="125">
        <v>45284</v>
      </c>
      <c r="K32" s="125">
        <v>45294</v>
      </c>
    </row>
    <row r="33" spans="1:11" x14ac:dyDescent="0.3">
      <c r="A33">
        <v>32</v>
      </c>
      <c r="B33" s="125">
        <v>45156</v>
      </c>
      <c r="C33" t="s">
        <v>7</v>
      </c>
      <c r="D33" t="s">
        <v>118</v>
      </c>
      <c r="E33" t="s">
        <v>9</v>
      </c>
      <c r="F33" t="s">
        <v>10</v>
      </c>
      <c r="G33" s="125">
        <v>45166</v>
      </c>
      <c r="H33" t="s">
        <v>11</v>
      </c>
      <c r="I33">
        <v>10</v>
      </c>
      <c r="J33" s="125">
        <v>45294</v>
      </c>
      <c r="K33" s="125">
        <v>45304</v>
      </c>
    </row>
    <row r="34" spans="1:11" x14ac:dyDescent="0.3">
      <c r="A34">
        <v>33</v>
      </c>
      <c r="B34" s="125">
        <v>45156</v>
      </c>
      <c r="C34" t="s">
        <v>7</v>
      </c>
      <c r="D34" t="s">
        <v>118</v>
      </c>
      <c r="E34" t="s">
        <v>9</v>
      </c>
      <c r="F34" t="s">
        <v>10</v>
      </c>
      <c r="G34" s="125">
        <v>45166</v>
      </c>
      <c r="H34" t="s">
        <v>11</v>
      </c>
      <c r="I34">
        <v>10</v>
      </c>
      <c r="J34" s="125">
        <v>45304</v>
      </c>
      <c r="K34" s="125">
        <v>45314</v>
      </c>
    </row>
    <row r="35" spans="1:11" x14ac:dyDescent="0.3">
      <c r="A35">
        <v>34</v>
      </c>
      <c r="B35" s="125">
        <v>45156</v>
      </c>
      <c r="C35" t="s">
        <v>7</v>
      </c>
      <c r="D35" t="s">
        <v>118</v>
      </c>
      <c r="E35" t="s">
        <v>9</v>
      </c>
      <c r="F35" t="s">
        <v>10</v>
      </c>
      <c r="G35" s="125">
        <v>45166</v>
      </c>
      <c r="H35" t="s">
        <v>11</v>
      </c>
      <c r="I35">
        <v>10</v>
      </c>
      <c r="J35" s="125">
        <v>45314</v>
      </c>
      <c r="K35" s="125">
        <v>45324</v>
      </c>
    </row>
    <row r="36" spans="1:11" x14ac:dyDescent="0.3">
      <c r="A36">
        <v>35</v>
      </c>
      <c r="B36" s="125">
        <v>45156</v>
      </c>
      <c r="C36" t="s">
        <v>7</v>
      </c>
      <c r="D36" t="s">
        <v>118</v>
      </c>
      <c r="E36" t="s">
        <v>9</v>
      </c>
      <c r="F36" t="s">
        <v>10</v>
      </c>
      <c r="G36" s="125">
        <v>45166</v>
      </c>
      <c r="H36" t="s">
        <v>11</v>
      </c>
      <c r="I36">
        <v>10</v>
      </c>
      <c r="J36" s="125">
        <v>45324</v>
      </c>
      <c r="K36" s="125">
        <v>45334</v>
      </c>
    </row>
    <row r="37" spans="1:11" x14ac:dyDescent="0.3">
      <c r="A37">
        <v>36</v>
      </c>
      <c r="B37" s="125">
        <v>45156</v>
      </c>
      <c r="C37" t="s">
        <v>7</v>
      </c>
      <c r="D37" t="s">
        <v>118</v>
      </c>
      <c r="E37" t="s">
        <v>9</v>
      </c>
      <c r="F37" t="s">
        <v>10</v>
      </c>
      <c r="G37" s="125">
        <v>45166</v>
      </c>
      <c r="H37" t="s">
        <v>11</v>
      </c>
      <c r="I37">
        <v>10</v>
      </c>
      <c r="J37" s="125">
        <v>45334</v>
      </c>
      <c r="K37" s="125">
        <v>45344</v>
      </c>
    </row>
    <row r="38" spans="1:11" x14ac:dyDescent="0.3">
      <c r="A38">
        <v>37</v>
      </c>
      <c r="B38" s="125">
        <v>45156</v>
      </c>
      <c r="C38" t="s">
        <v>7</v>
      </c>
      <c r="D38" t="s">
        <v>118</v>
      </c>
      <c r="E38" t="s">
        <v>9</v>
      </c>
      <c r="F38" t="s">
        <v>10</v>
      </c>
      <c r="G38" s="125">
        <v>45166</v>
      </c>
      <c r="H38" t="s">
        <v>11</v>
      </c>
      <c r="I38">
        <v>10</v>
      </c>
      <c r="J38" s="125">
        <v>45344</v>
      </c>
      <c r="K38" s="125">
        <v>45354</v>
      </c>
    </row>
    <row r="39" spans="1:11" x14ac:dyDescent="0.3">
      <c r="A39">
        <v>38</v>
      </c>
      <c r="B39" s="125">
        <v>45166</v>
      </c>
      <c r="C39" t="s">
        <v>63</v>
      </c>
      <c r="D39" t="s">
        <v>118</v>
      </c>
      <c r="E39" t="s">
        <v>40</v>
      </c>
      <c r="F39" t="s">
        <v>94</v>
      </c>
      <c r="G39" s="125">
        <v>45178</v>
      </c>
      <c r="H39" t="s">
        <v>62</v>
      </c>
      <c r="I39">
        <v>12</v>
      </c>
      <c r="J39" s="125">
        <v>45354</v>
      </c>
      <c r="K39" s="125">
        <v>45366</v>
      </c>
    </row>
    <row r="40" spans="1:11" x14ac:dyDescent="0.3">
      <c r="A40">
        <v>39</v>
      </c>
      <c r="B40" s="125">
        <v>45175</v>
      </c>
      <c r="C40" t="s">
        <v>63</v>
      </c>
      <c r="D40" t="s">
        <v>118</v>
      </c>
      <c r="E40" t="s">
        <v>107</v>
      </c>
      <c r="F40" t="s">
        <v>11</v>
      </c>
      <c r="G40" s="125">
        <v>45178</v>
      </c>
      <c r="I40">
        <v>3</v>
      </c>
      <c r="J40" s="125">
        <v>45366</v>
      </c>
      <c r="K40" s="125">
        <v>45369</v>
      </c>
    </row>
    <row r="41" spans="1:11" x14ac:dyDescent="0.3">
      <c r="A41">
        <v>40</v>
      </c>
      <c r="B41" s="125">
        <v>45175</v>
      </c>
      <c r="C41" t="s">
        <v>63</v>
      </c>
      <c r="D41" t="s">
        <v>118</v>
      </c>
      <c r="E41" t="s">
        <v>26</v>
      </c>
      <c r="F41" t="s">
        <v>74</v>
      </c>
      <c r="G41" s="125">
        <v>45179</v>
      </c>
      <c r="I41">
        <v>4</v>
      </c>
      <c r="J41" s="125">
        <v>45369</v>
      </c>
      <c r="K41" s="125">
        <v>45373</v>
      </c>
    </row>
    <row r="42" spans="1:11" x14ac:dyDescent="0.3">
      <c r="A42">
        <v>41</v>
      </c>
      <c r="B42" s="125">
        <v>45175</v>
      </c>
      <c r="C42" t="s">
        <v>63</v>
      </c>
      <c r="D42" t="s">
        <v>118</v>
      </c>
      <c r="E42" t="s">
        <v>13</v>
      </c>
      <c r="F42" t="s">
        <v>14</v>
      </c>
      <c r="G42" s="125">
        <v>45179</v>
      </c>
      <c r="I42">
        <v>4</v>
      </c>
      <c r="J42" s="125">
        <v>45373</v>
      </c>
      <c r="K42" s="125">
        <v>45377</v>
      </c>
    </row>
    <row r="43" spans="1:11" x14ac:dyDescent="0.3">
      <c r="A43">
        <v>42</v>
      </c>
      <c r="B43" s="125">
        <v>45156</v>
      </c>
      <c r="C43" t="s">
        <v>63</v>
      </c>
      <c r="D43" t="s">
        <v>119</v>
      </c>
      <c r="E43" t="s">
        <v>60</v>
      </c>
      <c r="F43" t="s">
        <v>95</v>
      </c>
      <c r="G43" s="125">
        <v>45166</v>
      </c>
      <c r="I43">
        <v>10</v>
      </c>
      <c r="J43" s="125">
        <v>45377</v>
      </c>
      <c r="K43" s="125">
        <v>45387</v>
      </c>
    </row>
    <row r="44" spans="1:11" x14ac:dyDescent="0.3">
      <c r="A44">
        <v>43</v>
      </c>
      <c r="B44" s="125">
        <v>45175</v>
      </c>
      <c r="C44" t="s">
        <v>63</v>
      </c>
      <c r="D44" t="s">
        <v>119</v>
      </c>
      <c r="E44" t="s">
        <v>13</v>
      </c>
      <c r="F44" t="s">
        <v>11</v>
      </c>
      <c r="G44" s="125">
        <v>45177</v>
      </c>
      <c r="H44" t="s">
        <v>126</v>
      </c>
      <c r="I44">
        <v>2</v>
      </c>
      <c r="J44" s="125">
        <v>45387</v>
      </c>
      <c r="K44" s="125">
        <v>45389</v>
      </c>
    </row>
    <row r="45" spans="1:11" x14ac:dyDescent="0.3">
      <c r="A45">
        <v>44</v>
      </c>
      <c r="B45" s="125">
        <v>45175</v>
      </c>
      <c r="C45" t="s">
        <v>143</v>
      </c>
      <c r="D45" t="s">
        <v>118</v>
      </c>
      <c r="E45" t="s">
        <v>26</v>
      </c>
      <c r="F45" t="s">
        <v>14</v>
      </c>
      <c r="G45" s="125">
        <v>45180</v>
      </c>
      <c r="H45" t="s">
        <v>144</v>
      </c>
      <c r="I45">
        <v>5</v>
      </c>
      <c r="J45" s="125">
        <v>45389</v>
      </c>
      <c r="K45" s="125">
        <v>45394</v>
      </c>
    </row>
    <row r="46" spans="1:11" x14ac:dyDescent="0.3">
      <c r="A46">
        <v>45</v>
      </c>
      <c r="B46" s="125">
        <v>45177</v>
      </c>
      <c r="C46" t="s">
        <v>63</v>
      </c>
      <c r="D46" t="s">
        <v>117</v>
      </c>
      <c r="E46" t="s">
        <v>29</v>
      </c>
      <c r="G46" s="125"/>
      <c r="I46">
        <v>1</v>
      </c>
      <c r="J46" s="125">
        <v>45394</v>
      </c>
      <c r="K46" s="125">
        <v>45395</v>
      </c>
    </row>
    <row r="47" spans="1:11" x14ac:dyDescent="0.3">
      <c r="A47">
        <v>46</v>
      </c>
      <c r="B47" s="125">
        <v>45177</v>
      </c>
      <c r="C47" t="s">
        <v>63</v>
      </c>
      <c r="D47" t="s">
        <v>118</v>
      </c>
      <c r="E47" t="s">
        <v>26</v>
      </c>
      <c r="F47" t="s">
        <v>11</v>
      </c>
      <c r="G47" s="125">
        <v>45181</v>
      </c>
      <c r="H47" t="s">
        <v>145</v>
      </c>
      <c r="I47">
        <v>4</v>
      </c>
      <c r="J47" s="125">
        <v>45395</v>
      </c>
      <c r="K47" s="125">
        <v>45399</v>
      </c>
    </row>
    <row r="48" spans="1:11" x14ac:dyDescent="0.3">
      <c r="A48">
        <v>47</v>
      </c>
      <c r="B48" s="125">
        <v>45798</v>
      </c>
      <c r="C48" t="s">
        <v>146</v>
      </c>
      <c r="D48" t="s">
        <v>118</v>
      </c>
      <c r="E48" t="s">
        <v>26</v>
      </c>
      <c r="F48" t="s">
        <v>75</v>
      </c>
      <c r="G48" s="125">
        <v>45798</v>
      </c>
      <c r="I48">
        <v>1</v>
      </c>
      <c r="J48" s="125">
        <v>45399</v>
      </c>
      <c r="K48" s="125">
        <v>45400</v>
      </c>
    </row>
  </sheetData>
  <pageMargins left="0.7" right="0.7" top="0.75" bottom="0.75" header="0.3" footer="0.3"/>
  <headerFooter>
    <oddFooter>&amp;C_x000D_&amp;1#&amp;"Calibri"&amp;10&amp;K000000 Confidential - Not for Public Consumption or Distribution</oddFooter>
  </headerFooter>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ED16-AB48-411B-ACBF-A969BB91AE93}">
  <sheetPr codeName="Hoja6">
    <pageSetUpPr fitToPage="1"/>
  </sheetPr>
  <dimension ref="A1:BL32"/>
  <sheetViews>
    <sheetView showGridLines="0" showRuler="0" zoomScaleNormal="100" zoomScalePageLayoutView="70" workbookViewId="0">
      <selection activeCell="Q2" sqref="Q2:Z2"/>
    </sheetView>
  </sheetViews>
  <sheetFormatPr baseColWidth="10" defaultColWidth="10" defaultRowHeight="30" customHeight="1" x14ac:dyDescent="0.3"/>
  <cols>
    <col min="1" max="1" width="3.109375" style="34" customWidth="1"/>
    <col min="2" max="2" width="30.109375" style="31" bestFit="1" customWidth="1"/>
    <col min="3" max="3" width="23" style="31" bestFit="1" customWidth="1"/>
    <col min="4" max="4" width="16.33203125" style="31" bestFit="1" customWidth="1"/>
    <col min="5" max="5" width="17.6640625" style="87" bestFit="1" customWidth="1"/>
    <col min="6" max="6" width="12.33203125" style="88" customWidth="1"/>
    <col min="7" max="7" width="3.109375" style="31" customWidth="1"/>
    <col min="8" max="8" width="6.88671875" style="31" hidden="1" customWidth="1"/>
    <col min="9" max="9" width="2.6640625" style="31" bestFit="1" customWidth="1"/>
    <col min="10" max="65" width="3.109375" style="31" customWidth="1"/>
    <col min="66" max="16384" width="10" style="31"/>
  </cols>
  <sheetData>
    <row r="1" spans="1:64" ht="90" customHeight="1" x14ac:dyDescent="0.9">
      <c r="A1" s="30"/>
      <c r="B1" s="139" t="s">
        <v>133</v>
      </c>
      <c r="C1" s="139"/>
      <c r="D1" s="139"/>
      <c r="E1" s="139"/>
      <c r="F1" s="139"/>
      <c r="H1" s="32"/>
      <c r="I1" s="140" t="s">
        <v>134</v>
      </c>
      <c r="J1" s="141"/>
      <c r="K1" s="141"/>
      <c r="L1" s="141"/>
      <c r="M1" s="141"/>
      <c r="N1" s="141"/>
      <c r="O1" s="141"/>
      <c r="P1" s="33"/>
      <c r="Q1" s="142">
        <v>45139</v>
      </c>
      <c r="R1" s="143"/>
      <c r="S1" s="143"/>
      <c r="T1" s="143"/>
      <c r="U1" s="143"/>
      <c r="V1" s="143"/>
      <c r="W1" s="143"/>
      <c r="X1" s="143"/>
      <c r="Y1" s="143"/>
      <c r="Z1" s="143"/>
    </row>
    <row r="2" spans="1:64" ht="30" customHeight="1" x14ac:dyDescent="0.45">
      <c r="B2" s="35"/>
      <c r="C2" s="29" t="s">
        <v>127</v>
      </c>
      <c r="E2" s="36"/>
      <c r="F2" s="31"/>
      <c r="I2" s="144" t="s">
        <v>135</v>
      </c>
      <c r="J2" s="145"/>
      <c r="K2" s="145"/>
      <c r="L2" s="145"/>
      <c r="M2" s="145"/>
      <c r="N2" s="145"/>
      <c r="O2" s="145"/>
      <c r="P2" s="33"/>
      <c r="Q2" s="146">
        <v>1</v>
      </c>
      <c r="R2" s="147"/>
      <c r="S2" s="147"/>
      <c r="T2" s="147"/>
      <c r="U2" s="147"/>
      <c r="V2" s="147"/>
      <c r="W2" s="147"/>
      <c r="X2" s="147"/>
      <c r="Y2" s="147"/>
      <c r="Z2" s="147"/>
    </row>
    <row r="3" spans="1:64" ht="30" customHeight="1" x14ac:dyDescent="0.3">
      <c r="B3" s="37"/>
      <c r="C3" s="28" t="s">
        <v>111</v>
      </c>
      <c r="D3" s="38"/>
      <c r="E3" s="36"/>
      <c r="F3" s="31"/>
    </row>
    <row r="4" spans="1:64" ht="30" customHeight="1" x14ac:dyDescent="0.3">
      <c r="A4" s="30"/>
      <c r="B4" s="39"/>
      <c r="E4" s="40"/>
      <c r="F4" s="31"/>
      <c r="I4" s="148">
        <f>I5</f>
        <v>45138</v>
      </c>
      <c r="J4" s="149"/>
      <c r="K4" s="149"/>
      <c r="L4" s="149"/>
      <c r="M4" s="149"/>
      <c r="N4" s="149"/>
      <c r="O4" s="149"/>
      <c r="P4" s="149">
        <f>P5</f>
        <v>45145</v>
      </c>
      <c r="Q4" s="149"/>
      <c r="R4" s="149"/>
      <c r="S4" s="149"/>
      <c r="T4" s="149"/>
      <c r="U4" s="149"/>
      <c r="V4" s="149"/>
      <c r="W4" s="149">
        <f>W5</f>
        <v>45152</v>
      </c>
      <c r="X4" s="149"/>
      <c r="Y4" s="149"/>
      <c r="Z4" s="149"/>
      <c r="AA4" s="149"/>
      <c r="AB4" s="149"/>
      <c r="AC4" s="149"/>
      <c r="AD4" s="149">
        <f>AD5</f>
        <v>45159</v>
      </c>
      <c r="AE4" s="149"/>
      <c r="AF4" s="149"/>
      <c r="AG4" s="149"/>
      <c r="AH4" s="149"/>
      <c r="AI4" s="149"/>
      <c r="AJ4" s="149"/>
      <c r="AK4" s="149">
        <f>AK5</f>
        <v>45166</v>
      </c>
      <c r="AL4" s="149"/>
      <c r="AM4" s="149"/>
      <c r="AN4" s="149"/>
      <c r="AO4" s="149"/>
      <c r="AP4" s="149"/>
      <c r="AQ4" s="149"/>
      <c r="AR4" s="149">
        <f>AR5</f>
        <v>45173</v>
      </c>
      <c r="AS4" s="149"/>
      <c r="AT4" s="149"/>
      <c r="AU4" s="149"/>
      <c r="AV4" s="149"/>
      <c r="AW4" s="149"/>
      <c r="AX4" s="149"/>
      <c r="AY4" s="149">
        <f>AY5</f>
        <v>45180</v>
      </c>
      <c r="AZ4" s="149"/>
      <c r="BA4" s="149"/>
      <c r="BB4" s="149"/>
      <c r="BC4" s="149"/>
      <c r="BD4" s="149"/>
      <c r="BE4" s="149"/>
      <c r="BF4" s="149">
        <f>BF5</f>
        <v>45187</v>
      </c>
      <c r="BG4" s="149"/>
      <c r="BH4" s="149"/>
      <c r="BI4" s="149"/>
      <c r="BJ4" s="149"/>
      <c r="BK4" s="149"/>
      <c r="BL4" s="150"/>
    </row>
    <row r="5" spans="1:64" ht="15" customHeight="1" x14ac:dyDescent="0.3">
      <c r="A5" s="151"/>
      <c r="B5" s="152" t="s">
        <v>99</v>
      </c>
      <c r="C5" s="154" t="s">
        <v>100</v>
      </c>
      <c r="D5" s="156" t="s">
        <v>123</v>
      </c>
      <c r="E5" s="156" t="s">
        <v>101</v>
      </c>
      <c r="F5" s="156" t="s">
        <v>102</v>
      </c>
      <c r="I5" s="41">
        <f>Project_Start-WEEKDAY(Project_Start,1)+2+7*(Display_Week-1)</f>
        <v>45138</v>
      </c>
      <c r="J5" s="41">
        <f>I5+1</f>
        <v>45139</v>
      </c>
      <c r="K5" s="41">
        <f t="shared" ref="K5:AX5" si="0">J5+1</f>
        <v>45140</v>
      </c>
      <c r="L5" s="41">
        <f t="shared" si="0"/>
        <v>45141</v>
      </c>
      <c r="M5" s="41">
        <f t="shared" si="0"/>
        <v>45142</v>
      </c>
      <c r="N5" s="41">
        <f t="shared" si="0"/>
        <v>45143</v>
      </c>
      <c r="O5" s="42">
        <f t="shared" si="0"/>
        <v>45144</v>
      </c>
      <c r="P5" s="43">
        <f>O5+1</f>
        <v>45145</v>
      </c>
      <c r="Q5" s="41">
        <f>P5+1</f>
        <v>45146</v>
      </c>
      <c r="R5" s="41">
        <f t="shared" si="0"/>
        <v>45147</v>
      </c>
      <c r="S5" s="41">
        <f t="shared" si="0"/>
        <v>45148</v>
      </c>
      <c r="T5" s="41">
        <f t="shared" si="0"/>
        <v>45149</v>
      </c>
      <c r="U5" s="41">
        <f t="shared" si="0"/>
        <v>45150</v>
      </c>
      <c r="V5" s="42">
        <f t="shared" si="0"/>
        <v>45151</v>
      </c>
      <c r="W5" s="43">
        <f>V5+1</f>
        <v>45152</v>
      </c>
      <c r="X5" s="41">
        <f>W5+1</f>
        <v>45153</v>
      </c>
      <c r="Y5" s="41">
        <f t="shared" si="0"/>
        <v>45154</v>
      </c>
      <c r="Z5" s="41">
        <f t="shared" si="0"/>
        <v>45155</v>
      </c>
      <c r="AA5" s="41">
        <f t="shared" si="0"/>
        <v>45156</v>
      </c>
      <c r="AB5" s="41">
        <f t="shared" si="0"/>
        <v>45157</v>
      </c>
      <c r="AC5" s="42">
        <f t="shared" si="0"/>
        <v>45158</v>
      </c>
      <c r="AD5" s="43">
        <f>AC5+1</f>
        <v>45159</v>
      </c>
      <c r="AE5" s="41">
        <f>AD5+1</f>
        <v>45160</v>
      </c>
      <c r="AF5" s="41">
        <f t="shared" si="0"/>
        <v>45161</v>
      </c>
      <c r="AG5" s="41">
        <f t="shared" si="0"/>
        <v>45162</v>
      </c>
      <c r="AH5" s="41">
        <f t="shared" si="0"/>
        <v>45163</v>
      </c>
      <c r="AI5" s="41">
        <f t="shared" si="0"/>
        <v>45164</v>
      </c>
      <c r="AJ5" s="42">
        <f t="shared" si="0"/>
        <v>45165</v>
      </c>
      <c r="AK5" s="43">
        <f>AJ5+1</f>
        <v>45166</v>
      </c>
      <c r="AL5" s="41">
        <f>AK5+1</f>
        <v>45167</v>
      </c>
      <c r="AM5" s="41">
        <f t="shared" si="0"/>
        <v>45168</v>
      </c>
      <c r="AN5" s="41">
        <f t="shared" si="0"/>
        <v>45169</v>
      </c>
      <c r="AO5" s="41">
        <f t="shared" si="0"/>
        <v>45170</v>
      </c>
      <c r="AP5" s="41">
        <f t="shared" si="0"/>
        <v>45171</v>
      </c>
      <c r="AQ5" s="42">
        <f t="shared" si="0"/>
        <v>45172</v>
      </c>
      <c r="AR5" s="43">
        <f>AQ5+1</f>
        <v>45173</v>
      </c>
      <c r="AS5" s="41">
        <f>AR5+1</f>
        <v>45174</v>
      </c>
      <c r="AT5" s="41">
        <f t="shared" si="0"/>
        <v>45175</v>
      </c>
      <c r="AU5" s="41">
        <f t="shared" si="0"/>
        <v>45176</v>
      </c>
      <c r="AV5" s="41">
        <f t="shared" si="0"/>
        <v>45177</v>
      </c>
      <c r="AW5" s="41">
        <f t="shared" si="0"/>
        <v>45178</v>
      </c>
      <c r="AX5" s="42">
        <f t="shared" si="0"/>
        <v>45179</v>
      </c>
      <c r="AY5" s="43">
        <f>AX5+1</f>
        <v>45180</v>
      </c>
      <c r="AZ5" s="41">
        <f>AY5+1</f>
        <v>45181</v>
      </c>
      <c r="BA5" s="41">
        <f t="shared" ref="BA5:BE5" si="1">AZ5+1</f>
        <v>45182</v>
      </c>
      <c r="BB5" s="41">
        <f t="shared" si="1"/>
        <v>45183</v>
      </c>
      <c r="BC5" s="41">
        <f t="shared" si="1"/>
        <v>45184</v>
      </c>
      <c r="BD5" s="41">
        <f t="shared" si="1"/>
        <v>45185</v>
      </c>
      <c r="BE5" s="42">
        <f t="shared" si="1"/>
        <v>45186</v>
      </c>
      <c r="BF5" s="43">
        <f>BE5+1</f>
        <v>45187</v>
      </c>
      <c r="BG5" s="41">
        <f>BF5+1</f>
        <v>45188</v>
      </c>
      <c r="BH5" s="41">
        <f t="shared" ref="BH5:BL5" si="2">BG5+1</f>
        <v>45189</v>
      </c>
      <c r="BI5" s="41">
        <f t="shared" si="2"/>
        <v>45190</v>
      </c>
      <c r="BJ5" s="41">
        <f t="shared" si="2"/>
        <v>45191</v>
      </c>
      <c r="BK5" s="41">
        <f t="shared" si="2"/>
        <v>45192</v>
      </c>
      <c r="BL5" s="41">
        <f t="shared" si="2"/>
        <v>45193</v>
      </c>
    </row>
    <row r="6" spans="1:64" ht="15" customHeight="1" thickBot="1" x14ac:dyDescent="0.35">
      <c r="A6" s="151"/>
      <c r="B6" s="153"/>
      <c r="C6" s="155"/>
      <c r="D6" s="155"/>
      <c r="E6" s="155"/>
      <c r="F6" s="155"/>
      <c r="I6" s="44" t="str">
        <f t="shared" ref="I6:BL6" si="3">LEFT(TEXT(I5,"ddd"),1)</f>
        <v>l</v>
      </c>
      <c r="J6" s="45" t="str">
        <f t="shared" si="3"/>
        <v>m</v>
      </c>
      <c r="K6" s="45" t="str">
        <f t="shared" si="3"/>
        <v>m</v>
      </c>
      <c r="L6" s="45" t="str">
        <f t="shared" si="3"/>
        <v>j</v>
      </c>
      <c r="M6" s="45" t="str">
        <f t="shared" si="3"/>
        <v>v</v>
      </c>
      <c r="N6" s="45" t="str">
        <f t="shared" si="3"/>
        <v>s</v>
      </c>
      <c r="O6" s="45" t="str">
        <f t="shared" si="3"/>
        <v>d</v>
      </c>
      <c r="P6" s="45" t="str">
        <f t="shared" si="3"/>
        <v>l</v>
      </c>
      <c r="Q6" s="45" t="str">
        <f t="shared" si="3"/>
        <v>m</v>
      </c>
      <c r="R6" s="45" t="str">
        <f t="shared" si="3"/>
        <v>m</v>
      </c>
      <c r="S6" s="45" t="str">
        <f t="shared" si="3"/>
        <v>j</v>
      </c>
      <c r="T6" s="45" t="str">
        <f t="shared" si="3"/>
        <v>v</v>
      </c>
      <c r="U6" s="45" t="str">
        <f t="shared" si="3"/>
        <v>s</v>
      </c>
      <c r="V6" s="45" t="str">
        <f t="shared" si="3"/>
        <v>d</v>
      </c>
      <c r="W6" s="45" t="str">
        <f t="shared" si="3"/>
        <v>l</v>
      </c>
      <c r="X6" s="45" t="str">
        <f t="shared" si="3"/>
        <v>m</v>
      </c>
      <c r="Y6" s="45" t="str">
        <f t="shared" si="3"/>
        <v>m</v>
      </c>
      <c r="Z6" s="45" t="str">
        <f t="shared" si="3"/>
        <v>j</v>
      </c>
      <c r="AA6" s="45" t="str">
        <f t="shared" si="3"/>
        <v>v</v>
      </c>
      <c r="AB6" s="45" t="str">
        <f t="shared" si="3"/>
        <v>s</v>
      </c>
      <c r="AC6" s="45" t="str">
        <f t="shared" si="3"/>
        <v>d</v>
      </c>
      <c r="AD6" s="45" t="str">
        <f t="shared" si="3"/>
        <v>l</v>
      </c>
      <c r="AE6" s="45" t="str">
        <f t="shared" si="3"/>
        <v>m</v>
      </c>
      <c r="AF6" s="45" t="str">
        <f t="shared" si="3"/>
        <v>m</v>
      </c>
      <c r="AG6" s="45" t="str">
        <f t="shared" si="3"/>
        <v>j</v>
      </c>
      <c r="AH6" s="45" t="str">
        <f t="shared" si="3"/>
        <v>v</v>
      </c>
      <c r="AI6" s="45" t="str">
        <f t="shared" si="3"/>
        <v>s</v>
      </c>
      <c r="AJ6" s="45" t="str">
        <f t="shared" si="3"/>
        <v>d</v>
      </c>
      <c r="AK6" s="45" t="str">
        <f t="shared" si="3"/>
        <v>l</v>
      </c>
      <c r="AL6" s="45" t="str">
        <f t="shared" si="3"/>
        <v>m</v>
      </c>
      <c r="AM6" s="45" t="str">
        <f t="shared" si="3"/>
        <v>m</v>
      </c>
      <c r="AN6" s="45" t="str">
        <f t="shared" si="3"/>
        <v>j</v>
      </c>
      <c r="AO6" s="45" t="str">
        <f t="shared" si="3"/>
        <v>v</v>
      </c>
      <c r="AP6" s="45" t="str">
        <f t="shared" si="3"/>
        <v>s</v>
      </c>
      <c r="AQ6" s="45" t="str">
        <f t="shared" si="3"/>
        <v>d</v>
      </c>
      <c r="AR6" s="45" t="str">
        <f t="shared" si="3"/>
        <v>l</v>
      </c>
      <c r="AS6" s="45" t="str">
        <f t="shared" si="3"/>
        <v>m</v>
      </c>
      <c r="AT6" s="45" t="str">
        <f t="shared" si="3"/>
        <v>m</v>
      </c>
      <c r="AU6" s="45" t="str">
        <f t="shared" si="3"/>
        <v>j</v>
      </c>
      <c r="AV6" s="45" t="str">
        <f t="shared" si="3"/>
        <v>v</v>
      </c>
      <c r="AW6" s="45" t="str">
        <f t="shared" si="3"/>
        <v>s</v>
      </c>
      <c r="AX6" s="45" t="str">
        <f t="shared" si="3"/>
        <v>d</v>
      </c>
      <c r="AY6" s="45" t="str">
        <f t="shared" si="3"/>
        <v>l</v>
      </c>
      <c r="AZ6" s="45" t="str">
        <f t="shared" si="3"/>
        <v>m</v>
      </c>
      <c r="BA6" s="45" t="str">
        <f t="shared" si="3"/>
        <v>m</v>
      </c>
      <c r="BB6" s="45" t="str">
        <f t="shared" si="3"/>
        <v>j</v>
      </c>
      <c r="BC6" s="45" t="str">
        <f t="shared" si="3"/>
        <v>v</v>
      </c>
      <c r="BD6" s="45" t="str">
        <f t="shared" si="3"/>
        <v>s</v>
      </c>
      <c r="BE6" s="45" t="str">
        <f t="shared" si="3"/>
        <v>d</v>
      </c>
      <c r="BF6" s="45" t="str">
        <f t="shared" si="3"/>
        <v>l</v>
      </c>
      <c r="BG6" s="45" t="str">
        <f t="shared" si="3"/>
        <v>m</v>
      </c>
      <c r="BH6" s="45" t="str">
        <f t="shared" si="3"/>
        <v>m</v>
      </c>
      <c r="BI6" s="45" t="str">
        <f t="shared" si="3"/>
        <v>j</v>
      </c>
      <c r="BJ6" s="45" t="str">
        <f t="shared" si="3"/>
        <v>v</v>
      </c>
      <c r="BK6" s="45" t="str">
        <f t="shared" si="3"/>
        <v>s</v>
      </c>
      <c r="BL6" s="46" t="str">
        <f t="shared" si="3"/>
        <v>d</v>
      </c>
    </row>
    <row r="7" spans="1:64" ht="30" hidden="1" customHeight="1" thickBot="1" x14ac:dyDescent="0.4">
      <c r="A7" s="34" t="s">
        <v>128</v>
      </c>
      <c r="B7" s="47"/>
      <c r="C7" s="48"/>
      <c r="D7" s="47"/>
      <c r="E7" s="47"/>
      <c r="F7" s="47"/>
      <c r="H7" s="31" t="str">
        <f>IF(OR(ISBLANK(task_start),ISBLANK(task_end)),"",task_end-task_start+1)</f>
        <v/>
      </c>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row>
    <row r="8" spans="1:64" s="57" customFormat="1" ht="30" customHeight="1" thickBot="1" x14ac:dyDescent="0.35">
      <c r="A8" s="30"/>
      <c r="B8" s="50" t="str" cm="1">
        <f t="array" ref="B8:B18">_xlfn._xlws.FILTER(Tabla15_2[TIPO DE ENTREGABLE],Tabla18[Data_Analyst]=Tabla15_2[DATA ANALYST])</f>
        <v>Informe</v>
      </c>
      <c r="C8" s="51" t="str" cm="1">
        <f t="array" ref="C8:C18">_xlfn._xlws.FILTER(Tabla15_2[DATA ANALYST],Tabla18[Data_Analyst]=Tabla15_2[DATA ANALYST])</f>
        <v>Esteban_Castañeda</v>
      </c>
      <c r="D8" s="52" t="str" cm="1">
        <f t="array" ref="D8:D18">_xlfn._xlws.FILTER(Tabla15_2[CUENTA],Tabla18[Data_Analyst]=Tabla15_2[DATA ANALYST])</f>
        <v>Argos</v>
      </c>
      <c r="E8" s="53" cm="1">
        <f t="array" ref="E8:E18">_xlfn._xlws.FILTER(Tabla15_2[FECHA DE SOLICITUD],Tabla18[Data_Analyst]=Tabla15_2[DATA ANALYST])</f>
        <v>45166</v>
      </c>
      <c r="F8" s="53" cm="1">
        <f t="array" ref="F8:F18">_xlfn._xlws.FILTER(Tabla15_2[FECHA PLANEADA DE ENTREGA],Tabla18[Data_Analyst]=Tabla15_2[DATA ANALYST])</f>
        <v>45166</v>
      </c>
      <c r="G8" s="54"/>
      <c r="H8" s="55">
        <f t="shared" ref="H8:H29" si="4">IF(OR(ISBLANK(task_start),ISBLANK(task_end)),"",task_end-task_start+1)</f>
        <v>1</v>
      </c>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row>
    <row r="9" spans="1:64" s="57" customFormat="1" ht="30" customHeight="1" thickBot="1" x14ac:dyDescent="0.35">
      <c r="A9" s="30"/>
      <c r="B9" s="58" t="str">
        <v>Informe</v>
      </c>
      <c r="C9" s="59" t="str">
        <v>Esteban_Castañeda</v>
      </c>
      <c r="D9" s="60" t="str">
        <v>Aje</v>
      </c>
      <c r="E9" s="61">
        <v>45166</v>
      </c>
      <c r="F9" s="61">
        <v>45166</v>
      </c>
      <c r="G9" s="54"/>
      <c r="H9" s="55">
        <f t="shared" si="4"/>
        <v>1</v>
      </c>
      <c r="I9" s="56"/>
      <c r="J9" s="56"/>
      <c r="K9" s="56"/>
      <c r="L9" s="56"/>
      <c r="M9" s="56"/>
      <c r="N9" s="56"/>
      <c r="O9" s="56"/>
      <c r="P9" s="56"/>
      <c r="Q9" s="56"/>
      <c r="R9" s="56"/>
      <c r="S9" s="56"/>
      <c r="T9" s="56"/>
      <c r="U9" s="62"/>
      <c r="V9" s="62"/>
      <c r="W9" s="56"/>
      <c r="X9" s="56"/>
      <c r="Y9" s="56"/>
      <c r="Z9" s="56"/>
      <c r="AA9" s="56"/>
      <c r="AB9" s="56"/>
      <c r="AC9" s="56"/>
      <c r="AD9" s="56"/>
      <c r="AE9" s="56"/>
      <c r="AF9" s="56"/>
      <c r="AG9" s="56"/>
      <c r="AH9" s="56"/>
      <c r="AI9" s="56"/>
      <c r="AJ9" s="56"/>
      <c r="AK9" s="56"/>
      <c r="AL9" s="56"/>
      <c r="AM9" s="56"/>
      <c r="AN9" s="56"/>
      <c r="AO9" s="56"/>
      <c r="AP9" s="56"/>
      <c r="AQ9" s="56"/>
      <c r="AR9" s="56"/>
      <c r="AS9" s="56"/>
      <c r="AT9" s="56"/>
      <c r="AU9" s="56"/>
      <c r="AV9" s="56"/>
      <c r="AW9" s="56"/>
      <c r="AX9" s="56"/>
      <c r="AY9" s="56"/>
      <c r="AZ9" s="56"/>
      <c r="BA9" s="56"/>
      <c r="BB9" s="56"/>
      <c r="BC9" s="56"/>
      <c r="BD9" s="56"/>
      <c r="BE9" s="56"/>
      <c r="BF9" s="56"/>
      <c r="BG9" s="56"/>
      <c r="BH9" s="56"/>
      <c r="BI9" s="56"/>
      <c r="BJ9" s="56"/>
      <c r="BK9" s="56"/>
      <c r="BL9" s="56"/>
    </row>
    <row r="10" spans="1:64" s="57" customFormat="1" ht="30" customHeight="1" thickBot="1" x14ac:dyDescent="0.35">
      <c r="A10" s="34"/>
      <c r="B10" s="58" t="str">
        <v>Informe</v>
      </c>
      <c r="C10" s="59" t="str">
        <v>Esteban_Castañeda</v>
      </c>
      <c r="D10" s="60" t="str">
        <v>Alimentos Polar</v>
      </c>
      <c r="E10" s="61">
        <v>45166</v>
      </c>
      <c r="F10" s="61">
        <v>45168</v>
      </c>
      <c r="G10" s="54"/>
      <c r="H10" s="55">
        <f t="shared" si="4"/>
        <v>3</v>
      </c>
      <c r="I10" s="56"/>
      <c r="J10" s="56"/>
      <c r="K10" s="56"/>
      <c r="L10" s="56"/>
      <c r="M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56"/>
      <c r="AZ10" s="56"/>
      <c r="BA10" s="56"/>
      <c r="BB10" s="56"/>
      <c r="BC10" s="56"/>
      <c r="BD10" s="56"/>
      <c r="BE10" s="56"/>
      <c r="BF10" s="56"/>
      <c r="BG10" s="56"/>
      <c r="BH10" s="56"/>
      <c r="BI10" s="56"/>
      <c r="BJ10" s="56"/>
      <c r="BK10" s="56"/>
      <c r="BL10" s="56"/>
    </row>
    <row r="11" spans="1:64" s="57" customFormat="1" ht="30" customHeight="1" thickBot="1" x14ac:dyDescent="0.35">
      <c r="A11" s="34"/>
      <c r="B11" s="58" t="str">
        <v>Informe</v>
      </c>
      <c r="C11" s="59" t="str">
        <v>Esteban_Castañeda</v>
      </c>
      <c r="D11" s="60" t="str">
        <v>Alimentos Polar</v>
      </c>
      <c r="E11" s="61">
        <v>45166</v>
      </c>
      <c r="F11" s="61">
        <v>45174</v>
      </c>
      <c r="G11" s="54"/>
      <c r="H11" s="55">
        <f t="shared" si="4"/>
        <v>9</v>
      </c>
      <c r="I11" s="56"/>
      <c r="J11" s="56"/>
      <c r="K11" s="56"/>
      <c r="L11" s="56"/>
      <c r="M11" s="56"/>
      <c r="N11" s="56"/>
      <c r="O11" s="56"/>
      <c r="P11" s="56"/>
      <c r="Q11" s="56"/>
      <c r="R11" s="56"/>
      <c r="S11" s="56"/>
      <c r="T11" s="56"/>
      <c r="U11" s="56"/>
      <c r="V11" s="56"/>
      <c r="W11" s="56"/>
      <c r="X11" s="56"/>
      <c r="Y11" s="62"/>
      <c r="Z11" s="56"/>
      <c r="AA11" s="56"/>
      <c r="AB11" s="56"/>
      <c r="AC11" s="56"/>
      <c r="AD11" s="56"/>
      <c r="AE11" s="56"/>
      <c r="AF11" s="56"/>
      <c r="AG11" s="56"/>
      <c r="AH11" s="56"/>
      <c r="AI11" s="56"/>
      <c r="AJ11" s="56"/>
      <c r="AK11" s="56"/>
      <c r="AL11" s="56"/>
      <c r="AM11" s="56"/>
      <c r="AN11" s="56"/>
      <c r="AO11" s="56"/>
      <c r="AP11" s="56"/>
      <c r="AQ11" s="56"/>
      <c r="AR11" s="56"/>
      <c r="AS11" s="56"/>
      <c r="AT11" s="56"/>
      <c r="AU11" s="56"/>
      <c r="AV11" s="56"/>
      <c r="AW11" s="56"/>
      <c r="AX11" s="56"/>
      <c r="AY11" s="56"/>
      <c r="AZ11" s="56"/>
      <c r="BA11" s="56"/>
      <c r="BB11" s="56"/>
      <c r="BC11" s="56"/>
      <c r="BD11" s="56"/>
      <c r="BE11" s="56"/>
      <c r="BF11" s="56"/>
      <c r="BG11" s="56"/>
      <c r="BH11" s="56"/>
      <c r="BI11" s="56"/>
      <c r="BJ11" s="56"/>
      <c r="BK11" s="56"/>
      <c r="BL11" s="56"/>
    </row>
    <row r="12" spans="1:64" s="57" customFormat="1" ht="30" customHeight="1" thickBot="1" x14ac:dyDescent="0.35">
      <c r="A12" s="34"/>
      <c r="B12" s="58" t="str">
        <v>Informe</v>
      </c>
      <c r="C12" s="59" t="str">
        <v>Esteban_Castañeda</v>
      </c>
      <c r="D12" s="60" t="str">
        <v>Aje</v>
      </c>
      <c r="E12" s="61">
        <v>45166</v>
      </c>
      <c r="F12" s="61">
        <v>45178</v>
      </c>
      <c r="G12" s="54"/>
      <c r="H12" s="55">
        <f t="shared" si="4"/>
        <v>13</v>
      </c>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c r="AL12" s="56"/>
      <c r="AM12" s="56"/>
      <c r="AN12" s="56"/>
      <c r="AO12" s="56"/>
      <c r="AP12" s="56"/>
      <c r="AQ12" s="56"/>
      <c r="AR12" s="56"/>
      <c r="AS12" s="56"/>
      <c r="AT12" s="56"/>
      <c r="AU12" s="56"/>
      <c r="AV12" s="56"/>
      <c r="AW12" s="56"/>
      <c r="AX12" s="56"/>
      <c r="AY12" s="56"/>
      <c r="AZ12" s="56"/>
      <c r="BA12" s="56"/>
      <c r="BB12" s="56"/>
      <c r="BC12" s="56"/>
      <c r="BD12" s="56"/>
      <c r="BE12" s="56"/>
      <c r="BF12" s="56"/>
      <c r="BG12" s="56"/>
      <c r="BH12" s="56"/>
      <c r="BI12" s="56"/>
      <c r="BJ12" s="56"/>
      <c r="BK12" s="56"/>
      <c r="BL12" s="56"/>
    </row>
    <row r="13" spans="1:64" s="57" customFormat="1" ht="30" customHeight="1" thickBot="1" x14ac:dyDescent="0.35">
      <c r="A13" s="30"/>
      <c r="B13" s="63" t="str">
        <v>Informe</v>
      </c>
      <c r="C13" s="64" t="str">
        <v>Esteban_Castañeda</v>
      </c>
      <c r="D13" s="65" t="str">
        <v>Ajinomoto</v>
      </c>
      <c r="E13" s="66">
        <v>45166</v>
      </c>
      <c r="F13" s="66">
        <v>45178</v>
      </c>
      <c r="G13" s="54"/>
      <c r="H13" s="55">
        <f t="shared" si="4"/>
        <v>13</v>
      </c>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row>
    <row r="14" spans="1:64" s="57" customFormat="1" ht="30" customHeight="1" thickBot="1" x14ac:dyDescent="0.35">
      <c r="A14" s="34"/>
      <c r="B14" s="63" t="str">
        <v>Analisis de Competencia</v>
      </c>
      <c r="C14" s="64" t="str">
        <v>Esteban_Castañeda</v>
      </c>
      <c r="D14" s="65" t="str">
        <v>Banco Caja Social</v>
      </c>
      <c r="E14" s="66">
        <v>45173</v>
      </c>
      <c r="F14" s="66">
        <v>45178</v>
      </c>
      <c r="G14" s="54"/>
      <c r="H14" s="55">
        <f t="shared" si="4"/>
        <v>6</v>
      </c>
      <c r="I14" s="56"/>
      <c r="J14" s="56"/>
      <c r="K14" s="56"/>
      <c r="L14" s="56"/>
      <c r="M14" s="56"/>
      <c r="N14" s="56"/>
      <c r="O14" s="56"/>
      <c r="P14" s="56"/>
      <c r="Q14" s="56"/>
      <c r="R14" s="56"/>
      <c r="S14" s="56"/>
      <c r="T14" s="56"/>
      <c r="U14" s="62"/>
      <c r="V14" s="62"/>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row>
    <row r="15" spans="1:64" s="57" customFormat="1" ht="30" customHeight="1" thickBot="1" x14ac:dyDescent="0.35">
      <c r="A15" s="34"/>
      <c r="B15" s="63" t="str">
        <v>Analisis de Competencia</v>
      </c>
      <c r="C15" s="64" t="str">
        <v>Esteban_Castañeda</v>
      </c>
      <c r="D15" s="65" t="str">
        <v>Arturo Calle</v>
      </c>
      <c r="E15" s="66">
        <v>45798</v>
      </c>
      <c r="F15" s="66">
        <v>45178</v>
      </c>
      <c r="G15" s="54"/>
      <c r="H15" s="55">
        <f t="shared" si="4"/>
        <v>-619</v>
      </c>
      <c r="I15" s="56"/>
      <c r="J15" s="56"/>
      <c r="K15" s="56"/>
      <c r="L15" s="56"/>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row>
    <row r="16" spans="1:64" s="57" customFormat="1" ht="30" customHeight="1" thickBot="1" x14ac:dyDescent="0.35">
      <c r="A16" s="34"/>
      <c r="B16" s="63" t="str">
        <v>Chequeo Semanal</v>
      </c>
      <c r="C16" s="64" t="str">
        <v>Esteban_Castañeda</v>
      </c>
      <c r="D16" s="65" t="str">
        <v>Entre Amigos</v>
      </c>
      <c r="E16" s="66">
        <v>45175</v>
      </c>
      <c r="F16" s="66">
        <v>45178</v>
      </c>
      <c r="G16" s="54"/>
      <c r="H16" s="55">
        <f t="shared" si="4"/>
        <v>4</v>
      </c>
      <c r="I16" s="56"/>
      <c r="J16" s="56"/>
      <c r="K16" s="56"/>
      <c r="L16" s="56"/>
      <c r="M16" s="56"/>
      <c r="N16" s="56"/>
      <c r="O16" s="56"/>
      <c r="P16" s="56"/>
      <c r="Q16" s="56"/>
      <c r="R16" s="56"/>
      <c r="S16" s="56"/>
      <c r="T16" s="56"/>
      <c r="U16" s="56"/>
      <c r="V16" s="56"/>
      <c r="W16" s="56"/>
      <c r="X16" s="56"/>
      <c r="Y16" s="62"/>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row>
    <row r="17" spans="1:64" s="57" customFormat="1" ht="30" customHeight="1" thickBot="1" x14ac:dyDescent="0.35">
      <c r="A17" s="34"/>
      <c r="B17" s="63" t="str">
        <v>Panorama de medios</v>
      </c>
      <c r="C17" s="64" t="str">
        <v>Esteban_Castañeda</v>
      </c>
      <c r="D17" s="65" t="str">
        <v>Banco Caja Social</v>
      </c>
      <c r="E17" s="66">
        <v>45175</v>
      </c>
      <c r="F17" s="66">
        <v>45178</v>
      </c>
      <c r="G17" s="54"/>
      <c r="H17" s="55">
        <f t="shared" si="4"/>
        <v>4</v>
      </c>
      <c r="I17" s="56"/>
      <c r="J17" s="56"/>
      <c r="K17" s="56"/>
      <c r="L17" s="56"/>
      <c r="M17" s="56"/>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row>
    <row r="18" spans="1:64" s="57" customFormat="1" ht="30" customHeight="1" thickBot="1" x14ac:dyDescent="0.35">
      <c r="A18" s="34"/>
      <c r="B18" s="67" t="str">
        <v>Analisis de Competencia</v>
      </c>
      <c r="C18" s="68" t="str">
        <v>Esteban_Castañeda</v>
      </c>
      <c r="D18" s="69" t="str">
        <v>Banco Caja Social</v>
      </c>
      <c r="E18" s="70">
        <v>45175</v>
      </c>
      <c r="F18" s="70">
        <v>45180</v>
      </c>
      <c r="G18" s="54"/>
      <c r="H18" s="55">
        <f t="shared" si="4"/>
        <v>6</v>
      </c>
      <c r="I18" s="56"/>
      <c r="J18" s="56"/>
      <c r="K18" s="56"/>
      <c r="L18" s="56"/>
      <c r="M18" s="56"/>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56"/>
      <c r="AX18" s="56"/>
      <c r="AY18" s="56"/>
      <c r="AZ18" s="56"/>
      <c r="BA18" s="56"/>
      <c r="BB18" s="56"/>
      <c r="BC18" s="56"/>
      <c r="BD18" s="56"/>
      <c r="BE18" s="56"/>
      <c r="BF18" s="56"/>
      <c r="BG18" s="56"/>
      <c r="BH18" s="56"/>
      <c r="BI18" s="56"/>
      <c r="BJ18" s="56"/>
      <c r="BK18" s="56"/>
      <c r="BL18" s="56"/>
    </row>
    <row r="19" spans="1:64" s="57" customFormat="1" ht="30" customHeight="1" thickBot="1" x14ac:dyDescent="0.35">
      <c r="A19" s="34"/>
      <c r="B19" s="67"/>
      <c r="C19" s="68"/>
      <c r="D19" s="69"/>
      <c r="E19" s="70"/>
      <c r="F19" s="70"/>
      <c r="G19" s="54"/>
      <c r="H19" s="55" t="str">
        <f t="shared" si="4"/>
        <v/>
      </c>
      <c r="I19" s="56"/>
      <c r="J19" s="56"/>
      <c r="K19" s="56"/>
      <c r="L19" s="56"/>
      <c r="M19" s="56"/>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56"/>
      <c r="AX19" s="56"/>
      <c r="AY19" s="56"/>
      <c r="AZ19" s="56"/>
      <c r="BA19" s="56"/>
      <c r="BB19" s="56"/>
      <c r="BC19" s="56"/>
      <c r="BD19" s="56"/>
      <c r="BE19" s="56"/>
      <c r="BF19" s="56"/>
      <c r="BG19" s="56"/>
      <c r="BH19" s="56"/>
      <c r="BI19" s="56"/>
      <c r="BJ19" s="56"/>
      <c r="BK19" s="56"/>
      <c r="BL19" s="56"/>
    </row>
    <row r="20" spans="1:64" s="57" customFormat="1" ht="30" customHeight="1" thickBot="1" x14ac:dyDescent="0.35">
      <c r="A20" s="34"/>
      <c r="B20" s="67"/>
      <c r="C20" s="68"/>
      <c r="D20" s="69"/>
      <c r="E20" s="70"/>
      <c r="F20" s="70"/>
      <c r="G20" s="54"/>
      <c r="H20" s="55" t="str">
        <f t="shared" si="4"/>
        <v/>
      </c>
      <c r="I20" s="56"/>
      <c r="J20" s="56"/>
      <c r="K20" s="56"/>
      <c r="L20" s="56"/>
      <c r="M20" s="56"/>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56"/>
      <c r="AZ20" s="56"/>
      <c r="BA20" s="56"/>
      <c r="BB20" s="56"/>
      <c r="BC20" s="56"/>
      <c r="BD20" s="56"/>
      <c r="BE20" s="56"/>
      <c r="BF20" s="56"/>
      <c r="BG20" s="56"/>
      <c r="BH20" s="56"/>
      <c r="BI20" s="56"/>
      <c r="BJ20" s="56"/>
      <c r="BK20" s="56"/>
      <c r="BL20" s="56"/>
    </row>
    <row r="21" spans="1:64" s="57" customFormat="1" ht="30" customHeight="1" thickBot="1" x14ac:dyDescent="0.35">
      <c r="A21" s="34"/>
      <c r="B21" s="67"/>
      <c r="C21" s="68"/>
      <c r="D21" s="69"/>
      <c r="E21" s="70"/>
      <c r="F21" s="70"/>
      <c r="G21" s="54"/>
      <c r="H21" s="55" t="str">
        <f t="shared" si="4"/>
        <v/>
      </c>
      <c r="I21" s="56"/>
      <c r="J21" s="56"/>
      <c r="K21" s="56"/>
      <c r="L21" s="56"/>
      <c r="M21" s="56"/>
      <c r="N21" s="56"/>
      <c r="O21" s="56"/>
      <c r="P21" s="56"/>
      <c r="Q21" s="56"/>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56"/>
      <c r="AZ21" s="56"/>
      <c r="BA21" s="56"/>
      <c r="BB21" s="56"/>
      <c r="BC21" s="56"/>
      <c r="BD21" s="56"/>
      <c r="BE21" s="56"/>
      <c r="BF21" s="56"/>
      <c r="BG21" s="56"/>
      <c r="BH21" s="56"/>
      <c r="BI21" s="56"/>
      <c r="BJ21" s="56"/>
      <c r="BK21" s="56"/>
      <c r="BL21" s="56"/>
    </row>
    <row r="22" spans="1:64" s="57" customFormat="1" ht="30" customHeight="1" thickBot="1" x14ac:dyDescent="0.35">
      <c r="A22" s="34"/>
      <c r="B22" s="67"/>
      <c r="C22" s="68"/>
      <c r="D22" s="69"/>
      <c r="E22" s="70"/>
      <c r="F22" s="70"/>
      <c r="G22" s="54"/>
      <c r="H22" s="55" t="str">
        <f t="shared" si="4"/>
        <v/>
      </c>
      <c r="I22" s="56"/>
      <c r="J22" s="56"/>
      <c r="K22" s="56"/>
      <c r="L22" s="56"/>
      <c r="M22" s="56"/>
      <c r="N22" s="56"/>
      <c r="O22" s="56"/>
      <c r="P22" s="56"/>
      <c r="Q22" s="56"/>
      <c r="R22" s="56"/>
      <c r="S22" s="56"/>
      <c r="T22" s="56"/>
      <c r="U22" s="56"/>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56"/>
      <c r="AZ22" s="56"/>
      <c r="BA22" s="56"/>
      <c r="BB22" s="56"/>
      <c r="BC22" s="56"/>
      <c r="BD22" s="56"/>
      <c r="BE22" s="56"/>
      <c r="BF22" s="56"/>
      <c r="BG22" s="56"/>
      <c r="BH22" s="56"/>
      <c r="BI22" s="56"/>
      <c r="BJ22" s="56"/>
      <c r="BK22" s="56"/>
      <c r="BL22" s="56"/>
    </row>
    <row r="23" spans="1:64" s="57" customFormat="1" ht="30" customHeight="1" thickBot="1" x14ac:dyDescent="0.35">
      <c r="A23" s="34"/>
      <c r="B23" s="71"/>
      <c r="C23" s="72"/>
      <c r="D23" s="73"/>
      <c r="E23" s="74"/>
      <c r="F23" s="74"/>
      <c r="G23" s="54"/>
      <c r="H23" s="55" t="str">
        <f t="shared" si="4"/>
        <v/>
      </c>
      <c r="I23" s="56"/>
      <c r="J23" s="56"/>
      <c r="K23" s="56"/>
      <c r="L23" s="56"/>
      <c r="M23" s="56"/>
      <c r="N23" s="56"/>
      <c r="O23" s="56"/>
      <c r="P23" s="56"/>
      <c r="Q23" s="56"/>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row>
    <row r="24" spans="1:64" s="57" customFormat="1" ht="30" customHeight="1" thickBot="1" x14ac:dyDescent="0.35">
      <c r="A24" s="34"/>
      <c r="B24" s="71"/>
      <c r="C24" s="72"/>
      <c r="D24" s="73"/>
      <c r="E24" s="74"/>
      <c r="F24" s="74"/>
      <c r="G24" s="54"/>
      <c r="H24" s="55" t="str">
        <f t="shared" si="4"/>
        <v/>
      </c>
      <c r="I24" s="56"/>
      <c r="J24" s="56"/>
      <c r="K24" s="56"/>
      <c r="L24" s="56"/>
      <c r="M24" s="56"/>
      <c r="N24" s="56"/>
      <c r="O24" s="56"/>
      <c r="P24" s="56"/>
      <c r="Q24" s="56"/>
      <c r="R24" s="56"/>
      <c r="S24" s="56"/>
      <c r="T24" s="56"/>
      <c r="U24" s="56"/>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c r="AY24" s="56"/>
      <c r="AZ24" s="56"/>
      <c r="BA24" s="56"/>
      <c r="BB24" s="56"/>
      <c r="BC24" s="56"/>
      <c r="BD24" s="56"/>
      <c r="BE24" s="56"/>
      <c r="BF24" s="56"/>
      <c r="BG24" s="56"/>
      <c r="BH24" s="56"/>
      <c r="BI24" s="56"/>
      <c r="BJ24" s="56"/>
      <c r="BK24" s="56"/>
      <c r="BL24" s="56"/>
    </row>
    <row r="25" spans="1:64" s="57" customFormat="1" ht="30" customHeight="1" thickBot="1" x14ac:dyDescent="0.35">
      <c r="A25" s="34"/>
      <c r="B25" s="71"/>
      <c r="C25" s="72"/>
      <c r="D25" s="73"/>
      <c r="E25" s="74"/>
      <c r="F25" s="74"/>
      <c r="G25" s="54"/>
      <c r="H25" s="55" t="str">
        <f t="shared" si="4"/>
        <v/>
      </c>
      <c r="I25" s="56"/>
      <c r="J25" s="56"/>
      <c r="K25" s="56"/>
      <c r="L25" s="56"/>
      <c r="M25" s="56"/>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56"/>
      <c r="AX25" s="56"/>
      <c r="AY25" s="56"/>
      <c r="AZ25" s="56"/>
      <c r="BA25" s="56"/>
      <c r="BB25" s="56"/>
      <c r="BC25" s="56"/>
      <c r="BD25" s="56"/>
      <c r="BE25" s="56"/>
      <c r="BF25" s="56"/>
      <c r="BG25" s="56"/>
      <c r="BH25" s="56"/>
      <c r="BI25" s="56"/>
      <c r="BJ25" s="56"/>
      <c r="BK25" s="56"/>
      <c r="BL25" s="56"/>
    </row>
    <row r="26" spans="1:64" s="57" customFormat="1" ht="30" customHeight="1" thickBot="1" x14ac:dyDescent="0.35">
      <c r="A26" s="34"/>
      <c r="B26" s="71"/>
      <c r="C26" s="72"/>
      <c r="D26" s="73"/>
      <c r="E26" s="74"/>
      <c r="F26" s="74"/>
      <c r="G26" s="54"/>
      <c r="H26" s="55" t="str">
        <f t="shared" si="4"/>
        <v/>
      </c>
      <c r="I26" s="56"/>
      <c r="J26" s="56"/>
      <c r="K26" s="56"/>
      <c r="L26" s="56"/>
      <c r="M26" s="56"/>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56"/>
      <c r="AX26" s="56"/>
      <c r="AY26" s="56"/>
      <c r="AZ26" s="56"/>
      <c r="BA26" s="56"/>
      <c r="BB26" s="56"/>
      <c r="BC26" s="56"/>
      <c r="BD26" s="56"/>
      <c r="BE26" s="56"/>
      <c r="BF26" s="56"/>
      <c r="BG26" s="56"/>
      <c r="BH26" s="56"/>
      <c r="BI26" s="56"/>
      <c r="BJ26" s="56"/>
      <c r="BK26" s="56"/>
      <c r="BL26" s="56"/>
    </row>
    <row r="27" spans="1:64" s="57" customFormat="1" ht="30" customHeight="1" thickBot="1" x14ac:dyDescent="0.35">
      <c r="A27" s="34"/>
      <c r="B27" s="71"/>
      <c r="C27" s="72"/>
      <c r="D27" s="73"/>
      <c r="E27" s="74"/>
      <c r="F27" s="74"/>
      <c r="G27" s="54"/>
      <c r="H27" s="55" t="str">
        <f t="shared" si="4"/>
        <v/>
      </c>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row>
    <row r="28" spans="1:64" s="57" customFormat="1" ht="30" customHeight="1" thickBot="1" x14ac:dyDescent="0.35">
      <c r="A28" s="34"/>
      <c r="B28" s="75"/>
      <c r="C28" s="76"/>
      <c r="D28" s="77"/>
      <c r="E28" s="78"/>
      <c r="F28" s="78"/>
      <c r="G28" s="54"/>
      <c r="H28" s="55" t="str">
        <f t="shared" si="4"/>
        <v/>
      </c>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c r="AS28" s="79"/>
      <c r="AT28" s="79"/>
      <c r="AU28" s="79"/>
      <c r="AV28" s="79"/>
      <c r="AW28" s="79"/>
      <c r="AX28" s="79"/>
      <c r="AY28" s="79"/>
      <c r="AZ28" s="79"/>
      <c r="BA28" s="79"/>
      <c r="BB28" s="79"/>
      <c r="BC28" s="79"/>
      <c r="BD28" s="79"/>
      <c r="BE28" s="79"/>
      <c r="BF28" s="79"/>
      <c r="BG28" s="79"/>
      <c r="BH28" s="79"/>
      <c r="BI28" s="79"/>
      <c r="BJ28" s="79"/>
      <c r="BK28" s="79"/>
      <c r="BL28" s="79"/>
    </row>
    <row r="29" spans="1:64" s="57" customFormat="1" ht="30" customHeight="1" thickBot="1" x14ac:dyDescent="0.35">
      <c r="A29" s="30"/>
      <c r="B29" s="80" t="s">
        <v>103</v>
      </c>
      <c r="C29" s="81"/>
      <c r="D29" s="82"/>
      <c r="E29" s="83"/>
      <c r="F29" s="84"/>
      <c r="G29" s="54"/>
      <c r="H29" s="85" t="str">
        <f t="shared" si="4"/>
        <v/>
      </c>
      <c r="I29" s="86"/>
      <c r="J29" s="86"/>
      <c r="K29" s="86"/>
      <c r="L29" s="86"/>
      <c r="M29" s="86"/>
      <c r="N29" s="86"/>
      <c r="O29" s="86"/>
      <c r="P29" s="86"/>
      <c r="Q29" s="86"/>
      <c r="R29" s="86"/>
      <c r="S29" s="86"/>
      <c r="T29" s="86"/>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row>
    <row r="30" spans="1:64" ht="30" customHeight="1" x14ac:dyDescent="0.3">
      <c r="G30" s="89"/>
    </row>
    <row r="31" spans="1:64" ht="30" customHeight="1" x14ac:dyDescent="0.3">
      <c r="C31" s="90"/>
      <c r="F31" s="91"/>
    </row>
    <row r="32" spans="1:64" ht="30" customHeight="1" x14ac:dyDescent="0.35">
      <c r="C32" s="92"/>
    </row>
  </sheetData>
  <mergeCells count="19">
    <mergeCell ref="I4:O4"/>
    <mergeCell ref="P4:V4"/>
    <mergeCell ref="W4:AC4"/>
    <mergeCell ref="BF4:BL4"/>
    <mergeCell ref="A5:A6"/>
    <mergeCell ref="B5:B6"/>
    <mergeCell ref="C5:C6"/>
    <mergeCell ref="D5:D6"/>
    <mergeCell ref="E5:E6"/>
    <mergeCell ref="F5:F6"/>
    <mergeCell ref="AD4:AJ4"/>
    <mergeCell ref="AK4:AQ4"/>
    <mergeCell ref="AR4:AX4"/>
    <mergeCell ref="AY4:BE4"/>
    <mergeCell ref="B1:F1"/>
    <mergeCell ref="I1:O1"/>
    <mergeCell ref="Q1:Z1"/>
    <mergeCell ref="I2:O2"/>
    <mergeCell ref="Q2:Z2"/>
  </mergeCells>
  <conditionalFormatting sqref="D7:D29">
    <cfRule type="dataBar" priority="8">
      <dataBar>
        <cfvo type="num" val="0"/>
        <cfvo type="num" val="1"/>
        <color theme="0"/>
      </dataBar>
      <extLst>
        <ext xmlns:x14="http://schemas.microsoft.com/office/spreadsheetml/2009/9/main" uri="{B025F937-C7B1-47D3-B67F-A62EFF666E3E}">
          <x14:id>{C0531C3F-DDA4-4C86-9A1F-C01F907EC658}</x14:id>
        </ext>
      </extLst>
    </cfRule>
  </conditionalFormatting>
  <conditionalFormatting sqref="I8:BL12">
    <cfRule type="expression" dxfId="8" priority="6">
      <formula>AND(task_start&lt;=I$5,ROUNDDOWN((task_end-task_start+1)*task_progress,0)+task_start-1&gt;=I$5)</formula>
    </cfRule>
    <cfRule type="expression" dxfId="7" priority="7" stopIfTrue="1">
      <formula>AND(task_end&gt;=I$5,task_start&lt;J$5)</formula>
    </cfRule>
  </conditionalFormatting>
  <conditionalFormatting sqref="I13:BL17">
    <cfRule type="expression" dxfId="6" priority="4">
      <formula>AND(task_start&lt;=I$5,ROUNDDOWN((task_end-task_start+1)*task_progress,0)+task_start-1&gt;=I$5)</formula>
    </cfRule>
    <cfRule type="expression" dxfId="5" priority="5" stopIfTrue="1">
      <formula>AND(task_end&gt;=I$5,task_start&lt;J$5)</formula>
    </cfRule>
  </conditionalFormatting>
  <conditionalFormatting sqref="I18:BL22">
    <cfRule type="expression" dxfId="4" priority="2">
      <formula>AND(task_start&lt;=I$5,ROUNDDOWN((task_end-task_start+1)*task_progress,0)+task_start-1&gt;=I$5)</formula>
    </cfRule>
    <cfRule type="expression" dxfId="3" priority="3" stopIfTrue="1">
      <formula>AND(task_end&gt;=I$5,task_start&lt;J$5)</formula>
    </cfRule>
  </conditionalFormatting>
  <conditionalFormatting sqref="I23:BL27">
    <cfRule type="expression" dxfId="2" priority="9">
      <formula>AND(task_start&lt;=I$5,ROUNDDOWN((task_end-task_start+1)*task_progress,0)+task_start-1&gt;=I$5)</formula>
    </cfRule>
    <cfRule type="expression" dxfId="1" priority="10" stopIfTrue="1">
      <formula>AND(task_end&gt;=I$5,task_start&lt;J$5)</formula>
    </cfRule>
  </conditionalFormatting>
  <conditionalFormatting sqref="I4:BL27">
    <cfRule type="expression" dxfId="0" priority="1">
      <formula>AND(TODAY()&gt;=I$5, TODAY()&lt;J$5)</formula>
    </cfRule>
  </conditionalFormatting>
  <dataValidations count="9">
    <dataValidation allowBlank="1" showInputMessage="1" showErrorMessage="1" prompt="This row marks the end of the Project Schedule. DO NOT enter anything in this row. _x000a_Insert new rows ABOVE this one to continue building out your Project Schedule." sqref="A29" xr:uid="{8499A783-D12B-45E1-8066-C9E60ACB4509}"/>
    <dataValidation allowBlank="1" showInputMessage="1" showErrorMessage="1" prompt="Rows 10 through 13 repeat the pattern from row 9. _x000a__x000a_Repeat the instructions from cell A9 for all task rows in this worksheet. _x000a__x000a_Continue entering tasks in cells A10 through A13 or go to cell A14 to learn more." sqref="A9" xr:uid="{49C07541-A577-4BBE-AC66-9705E0ABDE3A}"/>
    <dataValidation allowBlank="1" showInputMessage="1" showErrorMessage="1" prompt="B9 contains the task name.  C9 is the assignee.  D9 is a progress bar that shades based on the number entered into the cell.  _x000a__x000a_E9 contains the start date and F9 contains the end date._x000a__x000a_The Gantt chart will fill in starting in cell I9 based on task dates." sqref="A8" xr:uid="{77E3C573-7040-4137-8398-2A6845D52F4D}"/>
    <dataValidation allowBlank="1" showInputMessage="1" showErrorMessage="1" prompt="Cells I5 through BL5 contain the day number for the week represented in the cell block above each date and are auto calculated._x000a__x000a_Today's date is outlined from today's date in row 5 through the entire date column to the end of the project schedule." sqref="A5:A6" xr:uid="{2EB6B7F5-F89E-4EC7-8077-AAB5913E5570}"/>
    <dataValidation allowBlank="1" showInputMessage="1" showErrorMessage="1" prompt="The Display week in cell Q2 is the starting week to display in the project schedule in cell I4. The project start date is Week 1. To change the display week, enter a new week number in cell Q2._x000a__x000a_Start date for each week is auto calculated starting in I4." sqref="A4" xr:uid="{204D75DC-A4A4-45D4-AD69-D51918488F12}"/>
    <dataValidation allowBlank="1" showInputMessage="1" showErrorMessage="1" prompt="Enter the name of the Project Lead in cell C3. Enter the Project Start date in cell Q1. Project Start: label is in cell I1." sqref="A3" xr:uid="{FA96638B-7707-4191-859A-42367BCBE6ED}"/>
    <dataValidation allowBlank="1" showInputMessage="1" showErrorMessage="1" prompt="Enter Company name in cel B2." sqref="A2" xr:uid="{4A44C3E4-011A-4102-9016-7201901AB049}"/>
    <dataValidation allowBlank="1" showInputMessage="1" showErrorMessage="1" prompt="Create a Project Schedule in this worksheet._x000a_Enter title of this project in cell B1. _x000a_Information on how to use this worksheet, including instructions for screen readers and the author of this workbook, is in the About worksheet._x000a_" sqref="A1" xr:uid="{39F55FF2-F475-439B-979E-F4A1BC714F5F}"/>
    <dataValidation type="whole" operator="greaterThanOrEqual" allowBlank="1" showInputMessage="1" promptTitle="Display Week" prompt="Changing this number will scroll the Gantt Chart view." sqref="Q2" xr:uid="{B58C7E11-2514-48B3-8296-7FA2F57A029E}">
      <formula1>1</formula1>
    </dataValidation>
  </dataValidations>
  <printOptions horizontalCentered="1"/>
  <pageMargins left="0.35" right="0.35" top="0.35" bottom="0.5" header="0.3" footer="0.3"/>
  <pageSetup scale="57" fitToHeight="0" orientation="landscape" r:id="rId1"/>
  <headerFooter differentFirst="1" scaleWithDoc="0">
    <oddFooter>&amp;C_x000D_&amp;1#&amp;"Calibri"&amp;10&amp;K000000 Confidential - Not for Public Consumption or Distribution</oddFooter>
    <firstFooter>&amp;C_x000D_&amp;1#&amp;"Calibri"&amp;10&amp;K000000 Confidential - Not for Public Consumption or Distribution</first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C0531C3F-DDA4-4C86-9A1F-C01F907EC658}">
            <x14:dataBar minLength="0" maxLength="100" gradient="0">
              <x14:cfvo type="num">
                <xm:f>0</xm:f>
              </x14:cfvo>
              <x14:cfvo type="num">
                <xm:f>1</xm:f>
              </x14:cfvo>
              <x14:negativeFillColor rgb="FFFF0000"/>
              <x14:axisColor rgb="FF000000"/>
            </x14:dataBar>
          </x14:cfRule>
          <xm:sqref>D7:D29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0F55C17-0F3C-44B3-BE4E-E65FD85EB36A}">
          <x14:formula1>
            <xm:f>#REF!</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F04AE-2D69-4084-BFF3-E8D503C65E0B}">
  <sheetPr codeName="Hoja5"/>
  <dimension ref="A1:AF44"/>
  <sheetViews>
    <sheetView workbookViewId="0">
      <selection activeCell="U3" sqref="U3"/>
    </sheetView>
  </sheetViews>
  <sheetFormatPr baseColWidth="10" defaultRowHeight="14.4" x14ac:dyDescent="0.3"/>
  <cols>
    <col min="1" max="1" width="20.33203125" bestFit="1" customWidth="1"/>
    <col min="3" max="3" width="24.33203125" bestFit="1" customWidth="1"/>
    <col min="4" max="4" width="24.33203125" customWidth="1"/>
    <col min="6" max="6" width="23" bestFit="1" customWidth="1"/>
    <col min="13" max="13" width="14.44140625" bestFit="1" customWidth="1"/>
    <col min="14" max="14" width="25.44140625" bestFit="1" customWidth="1"/>
    <col min="15" max="15" width="23.5546875" customWidth="1"/>
    <col min="17" max="23" width="22.109375" customWidth="1"/>
    <col min="25" max="25" width="20.44140625" customWidth="1"/>
    <col min="27" max="27" width="17.6640625" customWidth="1"/>
    <col min="29" max="29" width="20.33203125" bestFit="1" customWidth="1"/>
    <col min="30" max="30" width="16.88671875" bestFit="1" customWidth="1"/>
    <col min="31" max="31" width="17.6640625" bestFit="1" customWidth="1"/>
    <col min="32" max="32" width="13.109375" bestFit="1" customWidth="1"/>
    <col min="33" max="33" width="20.44140625" bestFit="1" customWidth="1"/>
    <col min="34" max="34" width="13.5546875" bestFit="1" customWidth="1"/>
    <col min="35" max="35" width="15.33203125" bestFit="1" customWidth="1"/>
    <col min="36" max="36" width="17.88671875" bestFit="1" customWidth="1"/>
    <col min="37" max="37" width="15" bestFit="1" customWidth="1"/>
    <col min="38" max="38" width="12.5546875" bestFit="1" customWidth="1"/>
  </cols>
  <sheetData>
    <row r="1" spans="1:32" x14ac:dyDescent="0.3">
      <c r="A1" t="s">
        <v>16</v>
      </c>
      <c r="C1" t="s">
        <v>17</v>
      </c>
      <c r="D1" t="s">
        <v>105</v>
      </c>
      <c r="F1" t="s">
        <v>73</v>
      </c>
      <c r="G1" t="s">
        <v>93</v>
      </c>
      <c r="J1" t="s">
        <v>80</v>
      </c>
      <c r="M1" t="s">
        <v>112</v>
      </c>
      <c r="O1" t="s">
        <v>114</v>
      </c>
      <c r="Q1" t="s">
        <v>111</v>
      </c>
      <c r="S1" t="s">
        <v>113</v>
      </c>
      <c r="U1" t="s">
        <v>115</v>
      </c>
      <c r="W1" t="s">
        <v>116</v>
      </c>
      <c r="Y1" t="s">
        <v>117</v>
      </c>
      <c r="AA1" t="s">
        <v>118</v>
      </c>
      <c r="AC1" s="4" t="s">
        <v>110</v>
      </c>
      <c r="AD1" t="s">
        <v>109</v>
      </c>
    </row>
    <row r="2" spans="1:32" x14ac:dyDescent="0.3">
      <c r="A2" t="s">
        <v>112</v>
      </c>
      <c r="C2" t="s">
        <v>60</v>
      </c>
      <c r="D2" t="s">
        <v>19</v>
      </c>
      <c r="F2" t="s">
        <v>74</v>
      </c>
      <c r="G2">
        <v>3</v>
      </c>
      <c r="J2" s="2" t="s">
        <v>81</v>
      </c>
      <c r="M2" t="s">
        <v>24</v>
      </c>
      <c r="O2" t="s">
        <v>61</v>
      </c>
      <c r="Q2" t="s">
        <v>34</v>
      </c>
      <c r="S2" t="s">
        <v>60</v>
      </c>
      <c r="U2" t="s">
        <v>40</v>
      </c>
      <c r="W2" t="s">
        <v>51</v>
      </c>
      <c r="Y2" t="s">
        <v>32</v>
      </c>
      <c r="AA2" t="s">
        <v>13</v>
      </c>
      <c r="AC2" s="5" t="s">
        <v>19</v>
      </c>
      <c r="AD2">
        <v>5</v>
      </c>
      <c r="AF2" s="1"/>
    </row>
    <row r="3" spans="1:32" x14ac:dyDescent="0.3">
      <c r="A3" t="s">
        <v>111</v>
      </c>
      <c r="C3" t="s">
        <v>40</v>
      </c>
      <c r="D3" t="s">
        <v>21</v>
      </c>
      <c r="F3" t="s">
        <v>11</v>
      </c>
      <c r="G3">
        <v>7</v>
      </c>
      <c r="J3" s="3" t="s">
        <v>82</v>
      </c>
      <c r="Q3" t="s">
        <v>9</v>
      </c>
      <c r="S3" t="s">
        <v>46</v>
      </c>
      <c r="U3" t="s">
        <v>107</v>
      </c>
      <c r="W3" t="s">
        <v>54</v>
      </c>
      <c r="Y3" t="s">
        <v>29</v>
      </c>
      <c r="AA3" t="s">
        <v>25</v>
      </c>
      <c r="AC3" s="5" t="s">
        <v>22</v>
      </c>
      <c r="AD3">
        <v>1</v>
      </c>
    </row>
    <row r="4" spans="1:32" x14ac:dyDescent="0.3">
      <c r="A4" t="s">
        <v>113</v>
      </c>
      <c r="C4" t="s">
        <v>46</v>
      </c>
      <c r="D4" t="s">
        <v>19</v>
      </c>
      <c r="F4" t="s">
        <v>14</v>
      </c>
      <c r="G4">
        <v>2</v>
      </c>
      <c r="J4" s="3" t="s">
        <v>83</v>
      </c>
      <c r="Q4" t="s">
        <v>38</v>
      </c>
      <c r="S4" t="s">
        <v>59</v>
      </c>
      <c r="U4" t="s">
        <v>42</v>
      </c>
      <c r="W4" t="s">
        <v>57</v>
      </c>
      <c r="Y4" t="s">
        <v>30</v>
      </c>
      <c r="AA4" t="s">
        <v>26</v>
      </c>
      <c r="AC4" s="5" t="s">
        <v>21</v>
      </c>
      <c r="AD4">
        <v>6</v>
      </c>
    </row>
    <row r="5" spans="1:32" x14ac:dyDescent="0.3">
      <c r="A5" t="s">
        <v>114</v>
      </c>
      <c r="C5" t="s">
        <v>59</v>
      </c>
      <c r="D5" t="s">
        <v>19</v>
      </c>
      <c r="F5" t="s">
        <v>75</v>
      </c>
      <c r="G5">
        <v>5</v>
      </c>
      <c r="J5" s="3" t="s">
        <v>84</v>
      </c>
      <c r="Q5" t="s">
        <v>39</v>
      </c>
      <c r="S5" t="s">
        <v>106</v>
      </c>
      <c r="U5" t="s">
        <v>44</v>
      </c>
      <c r="W5" t="s">
        <v>52</v>
      </c>
      <c r="Y5" t="s">
        <v>33</v>
      </c>
      <c r="AA5" t="s">
        <v>27</v>
      </c>
      <c r="AC5" s="5" t="s">
        <v>20</v>
      </c>
      <c r="AD5">
        <v>12</v>
      </c>
    </row>
    <row r="6" spans="1:32" x14ac:dyDescent="0.3">
      <c r="A6" t="s">
        <v>115</v>
      </c>
      <c r="C6" t="s">
        <v>34</v>
      </c>
      <c r="D6" t="s">
        <v>111</v>
      </c>
      <c r="F6" t="s">
        <v>76</v>
      </c>
      <c r="G6">
        <v>3</v>
      </c>
      <c r="J6" s="3" t="s">
        <v>85</v>
      </c>
      <c r="Q6" t="s">
        <v>35</v>
      </c>
      <c r="S6" t="s">
        <v>45</v>
      </c>
      <c r="U6" t="s">
        <v>41</v>
      </c>
      <c r="W6" t="s">
        <v>47</v>
      </c>
      <c r="Y6" t="s">
        <v>31</v>
      </c>
      <c r="AA6" t="s">
        <v>28</v>
      </c>
      <c r="AC6" s="5" t="s">
        <v>18</v>
      </c>
      <c r="AD6">
        <v>5</v>
      </c>
    </row>
    <row r="7" spans="1:32" x14ac:dyDescent="0.3">
      <c r="A7" t="s">
        <v>116</v>
      </c>
      <c r="C7" t="s">
        <v>9</v>
      </c>
      <c r="D7" t="s">
        <v>111</v>
      </c>
      <c r="J7" s="3" t="s">
        <v>86</v>
      </c>
      <c r="Q7" t="s">
        <v>37</v>
      </c>
      <c r="S7" t="s">
        <v>4</v>
      </c>
      <c r="U7" t="s">
        <v>43</v>
      </c>
      <c r="W7" t="s">
        <v>55</v>
      </c>
      <c r="AC7" s="5" t="s">
        <v>8</v>
      </c>
      <c r="AD7">
        <v>5</v>
      </c>
    </row>
    <row r="8" spans="1:32" x14ac:dyDescent="0.3">
      <c r="A8" t="s">
        <v>117</v>
      </c>
      <c r="C8" t="s">
        <v>32</v>
      </c>
      <c r="D8" t="s">
        <v>18</v>
      </c>
      <c r="J8" s="2" t="s">
        <v>87</v>
      </c>
      <c r="Q8" t="s">
        <v>36</v>
      </c>
      <c r="W8" t="s">
        <v>56</v>
      </c>
      <c r="AC8" s="5" t="s">
        <v>111</v>
      </c>
      <c r="AD8">
        <v>8</v>
      </c>
    </row>
    <row r="9" spans="1:32" x14ac:dyDescent="0.3">
      <c r="A9" t="s">
        <v>118</v>
      </c>
      <c r="C9" t="s">
        <v>51</v>
      </c>
      <c r="D9" t="s">
        <v>20</v>
      </c>
      <c r="J9" s="2" t="s">
        <v>88</v>
      </c>
      <c r="W9" t="s">
        <v>58</v>
      </c>
      <c r="AC9" s="5" t="s">
        <v>112</v>
      </c>
      <c r="AD9">
        <v>1</v>
      </c>
    </row>
    <row r="10" spans="1:32" x14ac:dyDescent="0.3">
      <c r="A10" t="s">
        <v>119</v>
      </c>
      <c r="C10" t="s">
        <v>54</v>
      </c>
      <c r="D10" t="s">
        <v>20</v>
      </c>
      <c r="J10" s="2" t="s">
        <v>89</v>
      </c>
      <c r="W10" t="s">
        <v>50</v>
      </c>
      <c r="AC10" s="5" t="s">
        <v>108</v>
      </c>
      <c r="AD10">
        <v>43</v>
      </c>
    </row>
    <row r="11" spans="1:32" x14ac:dyDescent="0.3">
      <c r="A11" t="s">
        <v>120</v>
      </c>
      <c r="C11" t="s">
        <v>13</v>
      </c>
      <c r="D11" t="s">
        <v>8</v>
      </c>
      <c r="J11" s="2" t="s">
        <v>90</v>
      </c>
      <c r="W11" t="s">
        <v>48</v>
      </c>
    </row>
    <row r="12" spans="1:32" x14ac:dyDescent="0.3">
      <c r="C12" t="s">
        <v>38</v>
      </c>
      <c r="D12" t="s">
        <v>111</v>
      </c>
      <c r="J12" s="2" t="s">
        <v>91</v>
      </c>
      <c r="W12" t="s">
        <v>53</v>
      </c>
    </row>
    <row r="13" spans="1:32" x14ac:dyDescent="0.3">
      <c r="C13" t="s">
        <v>57</v>
      </c>
      <c r="D13" t="s">
        <v>20</v>
      </c>
      <c r="J13" s="2" t="s">
        <v>92</v>
      </c>
      <c r="W13" t="s">
        <v>49</v>
      </c>
    </row>
    <row r="14" spans="1:32" x14ac:dyDescent="0.3">
      <c r="C14" t="s">
        <v>52</v>
      </c>
      <c r="D14" t="s">
        <v>20</v>
      </c>
    </row>
    <row r="15" spans="1:32" x14ac:dyDescent="0.3">
      <c r="C15" t="s">
        <v>4</v>
      </c>
      <c r="D15" t="s">
        <v>111</v>
      </c>
    </row>
    <row r="16" spans="1:32" x14ac:dyDescent="0.3">
      <c r="C16" t="s">
        <v>61</v>
      </c>
      <c r="D16" t="s">
        <v>22</v>
      </c>
    </row>
    <row r="17" spans="3:4" x14ac:dyDescent="0.3">
      <c r="C17" t="s">
        <v>39</v>
      </c>
      <c r="D17" t="s">
        <v>111</v>
      </c>
    </row>
    <row r="18" spans="3:4" x14ac:dyDescent="0.3">
      <c r="C18" t="s">
        <v>35</v>
      </c>
      <c r="D18" t="s">
        <v>111</v>
      </c>
    </row>
    <row r="19" spans="3:4" x14ac:dyDescent="0.3">
      <c r="C19" t="s">
        <v>106</v>
      </c>
      <c r="D19" t="s">
        <v>19</v>
      </c>
    </row>
    <row r="20" spans="3:4" x14ac:dyDescent="0.3">
      <c r="C20" t="s">
        <v>107</v>
      </c>
      <c r="D20" t="s">
        <v>21</v>
      </c>
    </row>
    <row r="21" spans="3:4" x14ac:dyDescent="0.3">
      <c r="C21" t="s">
        <v>25</v>
      </c>
      <c r="D21" t="s">
        <v>8</v>
      </c>
    </row>
    <row r="22" spans="3:4" x14ac:dyDescent="0.3">
      <c r="C22" t="s">
        <v>26</v>
      </c>
      <c r="D22" t="s">
        <v>8</v>
      </c>
    </row>
    <row r="23" spans="3:4" x14ac:dyDescent="0.3">
      <c r="C23" t="s">
        <v>47</v>
      </c>
      <c r="D23" t="s">
        <v>20</v>
      </c>
    </row>
    <row r="24" spans="3:4" x14ac:dyDescent="0.3">
      <c r="C24" t="s">
        <v>55</v>
      </c>
      <c r="D24" t="s">
        <v>20</v>
      </c>
    </row>
    <row r="25" spans="3:4" x14ac:dyDescent="0.3">
      <c r="C25" t="s">
        <v>56</v>
      </c>
      <c r="D25" t="s">
        <v>20</v>
      </c>
    </row>
    <row r="26" spans="3:4" x14ac:dyDescent="0.3">
      <c r="C26" t="s">
        <v>27</v>
      </c>
      <c r="D26" t="s">
        <v>8</v>
      </c>
    </row>
    <row r="27" spans="3:4" x14ac:dyDescent="0.3">
      <c r="C27" t="s">
        <v>58</v>
      </c>
      <c r="D27" t="s">
        <v>20</v>
      </c>
    </row>
    <row r="28" spans="3:4" x14ac:dyDescent="0.3">
      <c r="C28" t="s">
        <v>29</v>
      </c>
      <c r="D28" t="s">
        <v>18</v>
      </c>
    </row>
    <row r="29" spans="3:4" x14ac:dyDescent="0.3">
      <c r="C29" t="s">
        <v>42</v>
      </c>
      <c r="D29" t="s">
        <v>21</v>
      </c>
    </row>
    <row r="30" spans="3:4" x14ac:dyDescent="0.3">
      <c r="C30" t="s">
        <v>45</v>
      </c>
      <c r="D30" t="s">
        <v>19</v>
      </c>
    </row>
    <row r="31" spans="3:4" x14ac:dyDescent="0.3">
      <c r="C31" t="s">
        <v>44</v>
      </c>
      <c r="D31" t="s">
        <v>21</v>
      </c>
    </row>
    <row r="32" spans="3:4" x14ac:dyDescent="0.3">
      <c r="C32" t="s">
        <v>28</v>
      </c>
      <c r="D32" t="s">
        <v>8</v>
      </c>
    </row>
    <row r="33" spans="3:4" x14ac:dyDescent="0.3">
      <c r="C33" t="s">
        <v>30</v>
      </c>
      <c r="D33" t="s">
        <v>18</v>
      </c>
    </row>
    <row r="34" spans="3:4" x14ac:dyDescent="0.3">
      <c r="C34" t="s">
        <v>33</v>
      </c>
      <c r="D34" t="s">
        <v>18</v>
      </c>
    </row>
    <row r="35" spans="3:4" x14ac:dyDescent="0.3">
      <c r="C35" t="s">
        <v>24</v>
      </c>
      <c r="D35" t="s">
        <v>112</v>
      </c>
    </row>
    <row r="36" spans="3:4" x14ac:dyDescent="0.3">
      <c r="C36" t="s">
        <v>31</v>
      </c>
      <c r="D36" t="s">
        <v>18</v>
      </c>
    </row>
    <row r="37" spans="3:4" x14ac:dyDescent="0.3">
      <c r="C37" t="s">
        <v>50</v>
      </c>
      <c r="D37" t="s">
        <v>20</v>
      </c>
    </row>
    <row r="38" spans="3:4" x14ac:dyDescent="0.3">
      <c r="C38" t="s">
        <v>41</v>
      </c>
      <c r="D38" t="s">
        <v>21</v>
      </c>
    </row>
    <row r="39" spans="3:4" x14ac:dyDescent="0.3">
      <c r="C39" t="s">
        <v>43</v>
      </c>
      <c r="D39" t="s">
        <v>21</v>
      </c>
    </row>
    <row r="40" spans="3:4" x14ac:dyDescent="0.3">
      <c r="C40" t="s">
        <v>48</v>
      </c>
      <c r="D40" t="s">
        <v>20</v>
      </c>
    </row>
    <row r="41" spans="3:4" x14ac:dyDescent="0.3">
      <c r="C41" t="s">
        <v>37</v>
      </c>
      <c r="D41" t="s">
        <v>111</v>
      </c>
    </row>
    <row r="42" spans="3:4" x14ac:dyDescent="0.3">
      <c r="C42" t="s">
        <v>36</v>
      </c>
      <c r="D42" t="s">
        <v>111</v>
      </c>
    </row>
    <row r="43" spans="3:4" x14ac:dyDescent="0.3">
      <c r="C43" t="s">
        <v>53</v>
      </c>
      <c r="D43" t="s">
        <v>20</v>
      </c>
    </row>
    <row r="44" spans="3:4" x14ac:dyDescent="0.3">
      <c r="C44" t="s">
        <v>49</v>
      </c>
      <c r="D44" t="s">
        <v>20</v>
      </c>
    </row>
  </sheetData>
  <sortState xmlns:xlrd2="http://schemas.microsoft.com/office/spreadsheetml/2017/richdata2" ref="A2:A10">
    <sortCondition ref="A2:A10"/>
  </sortState>
  <pageMargins left="0.7" right="0.7" top="0.75" bottom="0.75" header="0.3" footer="0.3"/>
  <pageSetup orientation="portrait" r:id="rId2"/>
  <headerFooter>
    <oddFooter>&amp;C_x000D_&amp;1#&amp;"Calibri"&amp;10&amp;K000000 Confidential - Not for Public Consumption or Distribution</oddFooter>
  </headerFooter>
  <tableParts count="11">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23CF6E-1CCB-41FA-BA6B-21533A6674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8</vt:i4>
      </vt:variant>
    </vt:vector>
  </HeadingPairs>
  <TitlesOfParts>
    <vt:vector size="13" baseType="lpstr">
      <vt:lpstr>Formulario</vt:lpstr>
      <vt:lpstr>Base_Nueva</vt:lpstr>
      <vt:lpstr>Consulta_Modif</vt:lpstr>
      <vt:lpstr>Uso de Tiempo</vt:lpstr>
      <vt:lpstr>Tablas Auxiliares</vt:lpstr>
      <vt:lpstr>CUENTA</vt:lpstr>
      <vt:lpstr>DATA</vt:lpstr>
      <vt:lpstr>'Uso de Tiempo'!Display_Week</vt:lpstr>
      <vt:lpstr>'Uso de Tiempo'!Project_Start</vt:lpstr>
      <vt:lpstr>'Uso de Tiempo'!task_end</vt:lpstr>
      <vt:lpstr>'Uso de Tiempo'!task_progress</vt:lpstr>
      <vt:lpstr>'Uso de Tiempo'!task_start</vt:lpstr>
      <vt:lpstr>'Uso de Tiempo'!Títulos_a_imprimir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Camila Garibello</dc:creator>
  <cp:lastModifiedBy>Sergio Martinez (OMG)</cp:lastModifiedBy>
  <dcterms:created xsi:type="dcterms:W3CDTF">2023-08-03T16:49:44Z</dcterms:created>
  <dcterms:modified xsi:type="dcterms:W3CDTF">2025-05-21T16:41:03Z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19d756-792e-42a1-bcad-4cb9051ddd2d_Enabled">
    <vt:lpwstr>true</vt:lpwstr>
  </property>
  <property fmtid="{D5CDD505-2E9C-101B-9397-08002B2CF9AE}" pid="3" name="MSIP_Label_8e19d756-792e-42a1-bcad-4cb9051ddd2d_SetDate">
    <vt:lpwstr>2025-05-21T14:05:04Z</vt:lpwstr>
  </property>
  <property fmtid="{D5CDD505-2E9C-101B-9397-08002B2CF9AE}" pid="4" name="MSIP_Label_8e19d756-792e-42a1-bcad-4cb9051ddd2d_Method">
    <vt:lpwstr>Standard</vt:lpwstr>
  </property>
  <property fmtid="{D5CDD505-2E9C-101B-9397-08002B2CF9AE}" pid="5" name="MSIP_Label_8e19d756-792e-42a1-bcad-4cb9051ddd2d_Name">
    <vt:lpwstr>Confidential</vt:lpwstr>
  </property>
  <property fmtid="{D5CDD505-2E9C-101B-9397-08002B2CF9AE}" pid="6" name="MSIP_Label_8e19d756-792e-42a1-bcad-4cb9051ddd2d_SiteId">
    <vt:lpwstr>41eb501a-f671-4ce0-a5bf-b64168c3705f</vt:lpwstr>
  </property>
  <property fmtid="{D5CDD505-2E9C-101B-9397-08002B2CF9AE}" pid="7" name="MSIP_Label_8e19d756-792e-42a1-bcad-4cb9051ddd2d_ActionId">
    <vt:lpwstr>39f50964-b1c8-4a15-b37e-1a0033c9a249</vt:lpwstr>
  </property>
  <property fmtid="{D5CDD505-2E9C-101B-9397-08002B2CF9AE}" pid="8" name="MSIP_Label_8e19d756-792e-42a1-bcad-4cb9051ddd2d_ContentBits">
    <vt:lpwstr>2</vt:lpwstr>
  </property>
  <property fmtid="{D5CDD505-2E9C-101B-9397-08002B2CF9AE}" pid="9" name="MSIP_Label_8e19d756-792e-42a1-bcad-4cb9051ddd2d_Tag">
    <vt:lpwstr>10, 3, 0, 1</vt:lpwstr>
  </property>
</Properties>
</file>